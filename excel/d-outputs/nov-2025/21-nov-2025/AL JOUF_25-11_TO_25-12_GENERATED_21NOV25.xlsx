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6F07B6D-D584-47A9-85B7-D82F43D9A2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F-CAI" sheetId="1" r:id="rId1"/>
    <sheet name="AJF-CAI LF LEGACY" sheetId="2" r:id="rId2"/>
    <sheet name="AJF-CAI - FOCUS MODE" sheetId="3" r:id="rId3"/>
    <sheet name="AJF-ATZ" sheetId="4" r:id="rId4"/>
    <sheet name="AJF-ATZ LF LEGACY" sheetId="5" r:id="rId5"/>
    <sheet name="AJF-ATZ - FOCUS MO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5" l="1"/>
  <c r="E4" i="5"/>
  <c r="G4" i="5"/>
  <c r="H4" i="5"/>
  <c r="I4" i="5"/>
  <c r="J4" i="5"/>
  <c r="M4" i="5"/>
  <c r="N4" i="5"/>
  <c r="O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C9" i="2"/>
  <c r="E9" i="2"/>
  <c r="G9" i="2"/>
  <c r="H9" i="2"/>
  <c r="I9" i="2"/>
  <c r="J9" i="2"/>
  <c r="M9" i="2"/>
  <c r="N9" i="2"/>
  <c r="O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158F0394-2CD1-4043-9393-F59B8D88D7E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T2 &amp; X26 &amp; U20 &amp; O25 &amp; I35</t>
        </r>
      </text>
    </comment>
    <comment ref="F3" authorId="0" shapeId="0" xr:uid="{2FBB9ACD-3309-49E2-B4B7-0CC5997ADCA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O21 &amp; I37</t>
        </r>
      </text>
    </comment>
    <comment ref="F6" authorId="0" shapeId="0" xr:uid="{1CB4B183-D96E-484B-A2F6-E985A1A60A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W1 &amp; O36 &amp; I1</t>
        </r>
      </text>
    </comment>
    <comment ref="F8" authorId="0" shapeId="0" xr:uid="{6206A5BC-1388-4BCF-B9FA-68FB56A08F6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O38 &amp; I1</t>
        </r>
      </text>
    </comment>
    <comment ref="F9" authorId="0" shapeId="0" xr:uid="{947E9F34-A79C-42EA-A38D-3896EEBD3DB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O10 &amp; I18</t>
        </r>
      </text>
    </comment>
    <comment ref="F12" authorId="0" shapeId="0" xr:uid="{46CE9321-712F-4E27-BC88-BC34F25D43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O6 &amp; I3</t>
        </r>
      </text>
    </comment>
    <comment ref="F14" authorId="0" shapeId="0" xr:uid="{AEC1A92D-0E32-42D1-8B49-2042A32AB12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O10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57B251D4-4A98-4D70-9E0D-FF2788EBE8C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U22 &amp; O49 &amp; I1</t>
        </r>
      </text>
    </comment>
    <comment ref="F5" authorId="0" shapeId="0" xr:uid="{516829B7-9A5A-44E9-9B52-854E3325B9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O31 &amp; I2</t>
        </r>
      </text>
    </comment>
  </commentList>
</comments>
</file>

<file path=xl/sharedStrings.xml><?xml version="1.0" encoding="utf-8"?>
<sst xmlns="http://schemas.openxmlformats.org/spreadsheetml/2006/main" count="700" uniqueCount="137">
  <si>
    <t>COMPREHENSIVE REPORT</t>
  </si>
  <si>
    <t>AJF-CAI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</si>
  <si>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</si>
  <si>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</si>
  <si>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</si>
  <si>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</si>
  <si>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</si>
  <si>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</si>
  <si>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</si>
  <si>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</si>
  <si>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</si>
  <si>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</si>
  <si>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</si>
  <si>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</si>
  <si>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</si>
  <si>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</si>
  <si>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</si>
  <si>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</si>
  <si>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</si>
  <si>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</si>
  <si>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</si>
  <si>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</si>
  <si>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</si>
  <si>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</si>
  <si>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</si>
  <si>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</si>
  <si>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</si>
  <si>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SM-322</t>
  </si>
  <si>
    <t>Cabin: 7 KG | Check-in: 40 KG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</si>
  <si>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</si>
  <si>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538 SAR</t>
  </si>
  <si>
    <t>SM322</t>
  </si>
  <si>
    <t>2025-11-21 00:00:00</t>
  </si>
  <si>
    <t>X4</t>
  </si>
  <si>
    <t>S1 &amp; T2 &amp; X26 &amp; U20 &amp; O25 &amp; I35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</si>
  <si>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</si>
  <si>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420 SAR</t>
  </si>
  <si>
    <t>O9</t>
  </si>
  <si>
    <t>X1 &amp; O21 &amp; I37</t>
  </si>
  <si>
    <t>Nile Air</t>
  </si>
  <si>
    <t>NP-120</t>
  </si>
  <si>
    <t>421 SAR</t>
  </si>
  <si>
    <t>NP-110</t>
  </si>
  <si>
    <t>W1 &amp; O36 &amp; I1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</si>
  <si>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</si>
  <si>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401 SAR</t>
  </si>
  <si>
    <t>S2 &amp; O38 &amp; I1</t>
  </si>
  <si>
    <t>O10 &amp; I18</t>
  </si>
  <si>
    <t>520 SAR</t>
  </si>
  <si>
    <t>2025-11-19 00:00:00</t>
  </si>
  <si>
    <t>O6 &amp; I3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</si>
  <si>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</si>
  <si>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U2 &amp; O10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</si>
  <si>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</si>
  <si>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</si>
  <si>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</si>
  <si>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</si>
  <si>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</si>
  <si>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</si>
  <si>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</si>
  <si>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</si>
  <si>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</si>
  <si>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</si>
  <si>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</si>
  <si>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</si>
  <si>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</si>
  <si>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</si>
  <si>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</si>
  <si>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</si>
  <si>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</si>
  <si>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</si>
  <si>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</si>
  <si>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</si>
  <si>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</si>
  <si>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</si>
  <si>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</si>
  <si>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</si>
  <si>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</si>
  <si>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</si>
  <si>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</si>
  <si>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</si>
  <si>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</si>
  <si>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</si>
  <si>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11:00</t>
  </si>
  <si>
    <t>320</t>
  </si>
  <si>
    <t>UPCOMING</t>
  </si>
  <si>
    <t>S1</t>
  </si>
  <si>
    <t>T2</t>
  </si>
  <si>
    <t>X26</t>
  </si>
  <si>
    <t>U20</t>
  </si>
  <si>
    <t>O25</t>
  </si>
  <si>
    <t>I35</t>
  </si>
  <si>
    <t>THURSDAY</t>
  </si>
  <si>
    <t>21:55</t>
  </si>
  <si>
    <t>X1</t>
  </si>
  <si>
    <t>O21</t>
  </si>
  <si>
    <t>I37</t>
  </si>
  <si>
    <t>SATURDAY</t>
  </si>
  <si>
    <t>20:45</t>
  </si>
  <si>
    <t>W1</t>
  </si>
  <si>
    <t>O36</t>
  </si>
  <si>
    <t>I1</t>
  </si>
  <si>
    <t>S2</t>
  </si>
  <si>
    <t>O38</t>
  </si>
  <si>
    <t>O10</t>
  </si>
  <si>
    <t>I18</t>
  </si>
  <si>
    <t>O6</t>
  </si>
  <si>
    <t>I3</t>
  </si>
  <si>
    <t>U2</t>
  </si>
  <si>
    <t>DATE</t>
  </si>
  <si>
    <t>ROUTE</t>
  </si>
  <si>
    <t>2025-11-25</t>
  </si>
  <si>
    <t>AJF-ATZ</t>
  </si>
  <si>
    <t>SM-324</t>
  </si>
  <si>
    <t>483 SAR</t>
  </si>
  <si>
    <t>SM324</t>
  </si>
  <si>
    <t>U9</t>
  </si>
  <si>
    <t>U22 &amp; O49 &amp; I1</t>
  </si>
  <si>
    <t>Indirect competition route AJF – CAI - diversion ratio &amp; passenger leakage</t>
  </si>
  <si>
    <t>SM-70</t>
  </si>
  <si>
    <t>22:30</t>
  </si>
  <si>
    <t>Cabin: 7 KG | Check-in: 1 PIECE</t>
  </si>
  <si>
    <t>2 FOR SAME CLASS</t>
  </si>
  <si>
    <t>4,277 EGP</t>
  </si>
  <si>
    <t>30KG + 7KG CABIN</t>
  </si>
  <si>
    <t>LOW DEMAND</t>
  </si>
  <si>
    <t>O31 &amp; I2</t>
  </si>
  <si>
    <t>+9 FOR SAME CLASS</t>
  </si>
  <si>
    <t>FRIDAY</t>
  </si>
  <si>
    <t>15:15</t>
  </si>
  <si>
    <t>U22</t>
  </si>
  <si>
    <t>O49</t>
  </si>
  <si>
    <t>O31</t>
  </si>
  <si>
    <t>I2</t>
  </si>
  <si>
    <t>2025-11-28</t>
  </si>
  <si>
    <t>AJF-CAI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</si>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</sst>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</numFmts>
  <fonts count="2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color rgb="FFBC0000"/>
      <name val="Calibri"/>
    </font>
    <font>
      <b/>
      <i/>
      <sz val="13"/>
      <name val="Calibri"/>
    </font>
    <font>
      <b/>
      <i/>
      <sz val="11"/>
      <name val="Calibri"/>
    </font>
    <font>
      <b/>
      <i/>
      <sz val="11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i/>
      <sz val="11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167" fontId="11" fillId="8" borderId="4" xfId="0" applyNumberFormat="1" applyFont="1" applyFill="1" applyBorder="1" applyAlignment="1">
      <alignment horizontal="center" vertical="center"/>
    </xf>
    <xf numFmtId="168" fontId="10" fillId="8" borderId="4" xfId="0" applyNumberFormat="1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167" fontId="12" fillId="10" borderId="7" xfId="0" applyNumberFormat="1" applyFont="1" applyFill="1" applyBorder="1" applyAlignment="1">
      <alignment horizontal="center" vertical="center"/>
    </xf>
    <xf numFmtId="168" fontId="10" fillId="10" borderId="7" xfId="0" applyNumberFormat="1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167" fontId="12" fillId="10" borderId="4" xfId="0" applyNumberFormat="1" applyFont="1" applyFill="1" applyBorder="1" applyAlignment="1">
      <alignment horizontal="center" vertical="center"/>
    </xf>
    <xf numFmtId="168" fontId="10" fillId="10" borderId="4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167" fontId="12" fillId="11" borderId="7" xfId="0" applyNumberFormat="1" applyFont="1" applyFill="1" applyBorder="1" applyAlignment="1">
      <alignment horizontal="center" vertical="center"/>
    </xf>
    <xf numFmtId="168" fontId="10" fillId="11" borderId="7" xfId="0" applyNumberFormat="1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167" fontId="12" fillId="12" borderId="4" xfId="0" applyNumberFormat="1" applyFont="1" applyFill="1" applyBorder="1" applyAlignment="1">
      <alignment horizontal="center" vertical="center"/>
    </xf>
    <xf numFmtId="168" fontId="10" fillId="12" borderId="4" xfId="0" applyNumberFormat="1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167" fontId="12" fillId="13" borderId="4" xfId="0" applyNumberFormat="1" applyFont="1" applyFill="1" applyBorder="1" applyAlignment="1">
      <alignment horizontal="center" vertical="center"/>
    </xf>
    <xf numFmtId="168" fontId="10" fillId="13" borderId="4" xfId="0" applyNumberFormat="1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14" borderId="17" xfId="0" applyFont="1" applyFill="1" applyBorder="1" applyAlignment="1">
      <alignment horizontal="center" vertical="center"/>
    </xf>
    <xf numFmtId="0" fontId="13" fillId="14" borderId="18" xfId="0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49" fontId="14" fillId="0" borderId="21" xfId="0" applyNumberFormat="1" applyFont="1" applyBorder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171" fontId="14" fillId="0" borderId="22" xfId="0" applyNumberFormat="1" applyFont="1" applyBorder="1" applyAlignment="1">
      <alignment horizontal="center" vertical="center"/>
    </xf>
    <xf numFmtId="172" fontId="14" fillId="0" borderId="23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173" fontId="14" fillId="0" borderId="24" xfId="0" applyNumberFormat="1" applyFont="1" applyBorder="1" applyAlignment="1">
      <alignment horizontal="center" vertical="center"/>
    </xf>
    <xf numFmtId="1" fontId="14" fillId="0" borderId="24" xfId="0" applyNumberFormat="1" applyFont="1" applyBorder="1" applyAlignment="1">
      <alignment horizontal="center" vertical="center"/>
    </xf>
    <xf numFmtId="171" fontId="14" fillId="0" borderId="25" xfId="0" applyNumberFormat="1" applyFont="1" applyBorder="1" applyAlignment="1">
      <alignment horizontal="center" vertical="center"/>
    </xf>
    <xf numFmtId="172" fontId="15" fillId="0" borderId="20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173" fontId="15" fillId="0" borderId="21" xfId="0" applyNumberFormat="1" applyFont="1" applyBorder="1" applyAlignment="1">
      <alignment horizontal="center" vertical="center"/>
    </xf>
    <xf numFmtId="1" fontId="15" fillId="0" borderId="21" xfId="0" applyNumberFormat="1" applyFont="1" applyBorder="1" applyAlignment="1">
      <alignment horizontal="center" vertical="center"/>
    </xf>
    <xf numFmtId="171" fontId="15" fillId="0" borderId="22" xfId="0" applyNumberFormat="1" applyFont="1" applyBorder="1" applyAlignment="1">
      <alignment horizontal="center" vertical="center"/>
    </xf>
    <xf numFmtId="172" fontId="14" fillId="0" borderId="20" xfId="0" applyNumberFormat="1" applyFont="1" applyBorder="1" applyAlignment="1">
      <alignment horizontal="center" vertical="center"/>
    </xf>
    <xf numFmtId="173" fontId="14" fillId="0" borderId="21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7" fontId="12" fillId="8" borderId="4" xfId="0" applyNumberFormat="1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17" fillId="0" borderId="24" xfId="0" applyFont="1" applyBorder="1" applyAlignment="1">
      <alignment horizontal="center" vertical="center"/>
    </xf>
    <xf numFmtId="0" fontId="0" fillId="0" borderId="25" xfId="0" applyBorder="1"/>
    <xf numFmtId="0" fontId="15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26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21" fillId="0" borderId="0" xfId="0" applyFont="1" applyAlignment="1">
      <alignment horizontal="center" vertical="center"/>
    </xf>
    <xf numFmtId="0" fontId="21" fillId="0" borderId="0" xfId="0" applyFont="1"/>
    <xf numFmtId="169" fontId="21" fillId="0" borderId="0" xfId="0" applyNumberFormat="1" applyFont="1" applyAlignment="1">
      <alignment horizontal="center" vertical="center"/>
    </xf>
    <xf numFmtId="15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170" fontId="21" fillId="0" borderId="0" xfId="0" applyNumberFormat="1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6" fontId="21" fillId="0" borderId="0" xfId="0" applyNumberFormat="1" applyFont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15" fontId="22" fillId="15" borderId="0" xfId="0" applyNumberFormat="1" applyFont="1" applyFill="1" applyAlignment="1">
      <alignment horizontal="center" vertical="center"/>
    </xf>
    <xf numFmtId="167" fontId="22" fillId="15" borderId="0" xfId="0" applyNumberFormat="1" applyFont="1" applyFill="1" applyAlignment="1">
      <alignment horizontal="center" vertical="center"/>
    </xf>
    <xf numFmtId="1" fontId="22" fillId="15" borderId="0" xfId="0" applyNumberFormat="1" applyFont="1" applyFill="1" applyAlignment="1">
      <alignment horizontal="center" vertical="center"/>
    </xf>
    <xf numFmtId="0" fontId="22" fillId="15" borderId="0" xfId="0" applyNumberFormat="1" applyFont="1" applyFill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16" fillId="9" borderId="30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JF_CAI_LF_LEGACY" displayName="AJF_CAI_LF_LEGACY" ref="A1:AJ9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AJF_CAI" displayName="FocusMode_AJF_CAI" ref="A1:H14" totalsRowShown="0">
  <autoFilter ref="A1:H1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JF_ATZ_LF_LEGACY" displayName="AJF_ATZ_LF_LEGACY" ref="A1:AJ4" totalsRowCount="1" headerRowDxfId="74" dataDxfId="37" totalsRowDxfId="0">
  <tableColumns count="36">
    <tableColumn id="1" xr3:uid="{00000000-0010-0000-0200-000001000000}" name="Day" totalsRowLabel="TOTAL" dataDxfId="73" totalsRowDxfId="36"/>
    <tableColumn id="2" xr3:uid="{00000000-0010-0000-0200-000002000000}" name="Flt Dt" dataDxfId="72" totalsRowDxfId="35"/>
    <tableColumn id="3" xr3:uid="{00000000-0010-0000-0200-000003000000}" name="Flt" totalsRowFunction="count" dataDxfId="71" totalsRowDxfId="34"/>
    <tableColumn id="4" xr3:uid="{00000000-0010-0000-0200-000004000000}" name="DEP" dataDxfId="70" totalsRowDxfId="33"/>
    <tableColumn id="5" xr3:uid="{00000000-0010-0000-0200-000005000000}" name="Brd-Off" totalsRowFunction="count" dataDxfId="69" totalsRowDxfId="32"/>
    <tableColumn id="6" xr3:uid="{00000000-0010-0000-0200-000006000000}" name="Eqp" dataDxfId="68" totalsRowDxfId="31"/>
    <tableColumn id="7" xr3:uid="{00000000-0010-0000-0200-000007000000}" name="LF%" totalsRowFunction="average" dataDxfId="67" totalsRowDxfId="30"/>
    <tableColumn id="8" xr3:uid="{00000000-0010-0000-0200-000008000000}" name="CAP" totalsRowFunction="sum" dataDxfId="66" totalsRowDxfId="29"/>
    <tableColumn id="9" xr3:uid="{00000000-0010-0000-0200-000009000000}" name="BKG(Y)" totalsRowFunction="sum" dataDxfId="65" totalsRowDxfId="28"/>
    <tableColumn id="10" xr3:uid="{00000000-0010-0000-0200-00000A000000}" name="GRP(Y)" totalsRowFunction="sum" dataDxfId="64" totalsRowDxfId="27"/>
    <tableColumn id="11" xr3:uid="{00000000-0010-0000-0200-00000B000000}" name="FLT ST" dataDxfId="63" totalsRowDxfId="26"/>
    <tableColumn id="12" xr3:uid="{00000000-0010-0000-0200-00000C000000}" name="LST-SOLD" dataDxfId="62" totalsRowDxfId="25"/>
    <tableColumn id="13" xr3:uid="{00000000-0010-0000-0200-00000D000000}" name="TO-DAY" totalsRowFunction="sum" dataDxfId="61" totalsRowDxfId="24"/>
    <tableColumn id="14" xr3:uid="{00000000-0010-0000-0200-00000E000000}" name="Y-DAY" totalsRowFunction="sum" dataDxfId="60" totalsRowDxfId="23"/>
    <tableColumn id="15" xr3:uid="{00000000-0010-0000-0200-00000F000000}" name="WEEKLY" totalsRowFunction="sum" dataDxfId="59" totalsRowDxfId="22"/>
    <tableColumn id="16" xr3:uid="{00000000-0010-0000-0200-000010000000}" name="LOWEST AVAIL" dataDxfId="58" totalsRowDxfId="21"/>
    <tableColumn id="17" xr3:uid="{00000000-0010-0000-0200-000011000000}" name="Y" totalsRowFunction="sum" dataDxfId="57" totalsRowDxfId="20"/>
    <tableColumn id="18" xr3:uid="{00000000-0010-0000-0200-000012000000}" name="B" totalsRowFunction="sum" dataDxfId="56" totalsRowDxfId="19"/>
    <tableColumn id="19" xr3:uid="{00000000-0010-0000-0200-000013000000}" name="M" totalsRowFunction="sum" dataDxfId="55" totalsRowDxfId="18"/>
    <tableColumn id="20" xr3:uid="{00000000-0010-0000-0200-000014000000}" name="H" totalsRowFunction="sum" dataDxfId="54" totalsRowDxfId="17"/>
    <tableColumn id="21" xr3:uid="{00000000-0010-0000-0200-000015000000}" name="Q" totalsRowFunction="sum" dataDxfId="53" totalsRowDxfId="16"/>
    <tableColumn id="22" xr3:uid="{00000000-0010-0000-0200-000016000000}" name="K" totalsRowFunction="sum" dataDxfId="52" totalsRowDxfId="15"/>
    <tableColumn id="23" xr3:uid="{00000000-0010-0000-0200-000017000000}" name="V" totalsRowFunction="sum" dataDxfId="51" totalsRowDxfId="14"/>
    <tableColumn id="24" xr3:uid="{00000000-0010-0000-0200-000018000000}" name="L" totalsRowFunction="sum" dataDxfId="50" totalsRowDxfId="13"/>
    <tableColumn id="25" xr3:uid="{00000000-0010-0000-0200-000019000000}" name="G" totalsRowFunction="sum" dataDxfId="49" totalsRowDxfId="12"/>
    <tableColumn id="26" xr3:uid="{00000000-0010-0000-0200-00001A000000}" name="S" totalsRowFunction="sum" dataDxfId="48" totalsRowDxfId="11"/>
    <tableColumn id="27" xr3:uid="{00000000-0010-0000-0200-00001B000000}" name="W" totalsRowFunction="sum" dataDxfId="47" totalsRowDxfId="10"/>
    <tableColumn id="28" xr3:uid="{00000000-0010-0000-0200-00001C000000}" name="T" totalsRowFunction="sum" dataDxfId="46" totalsRowDxfId="9"/>
    <tableColumn id="29" xr3:uid="{00000000-0010-0000-0200-00001D000000}" name="X" totalsRowFunction="sum" dataDxfId="45" totalsRowDxfId="8"/>
    <tableColumn id="30" xr3:uid="{00000000-0010-0000-0200-00001E000000}" name="U" totalsRowFunction="sum" dataDxfId="44" totalsRowDxfId="7"/>
    <tableColumn id="31" xr3:uid="{00000000-0010-0000-0200-00001F000000}" name="O" totalsRowFunction="sum" dataDxfId="43" totalsRowDxfId="6"/>
    <tableColumn id="32" xr3:uid="{00000000-0010-0000-0200-000020000000}" name="I" totalsRowFunction="sum" dataDxfId="42" totalsRowDxfId="5"/>
    <tableColumn id="33" xr3:uid="{00000000-0010-0000-0200-000021000000}" name="E" totalsRowFunction="sum" dataDxfId="41" totalsRowDxfId="4"/>
    <tableColumn id="34" xr3:uid="{00000000-0010-0000-0200-000022000000}" name="A" totalsRowFunction="sum" dataDxfId="40" totalsRowDxfId="3"/>
    <tableColumn id="35" xr3:uid="{00000000-0010-0000-0200-000023000000}" name="P" totalsRowFunction="sum" dataDxfId="39" totalsRowDxfId="2"/>
    <tableColumn id="36" xr3:uid="{00000000-0010-0000-0200-000024000000}" name="N" totalsRowFunction="count" dataDxfId="38" totalsRow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AJF_ATZ" displayName="FocusMode_AJF_ATZ" ref="A1:H7" totalsRowShown="0">
  <autoFilter ref="A1:H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workbookViewId="0">
      <selection sqref="A1:E1"/>
    </sheetView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0.44140625" bestFit="1" customWidth="1"/>
    <col min="8" max="8" width="9.44140625" bestFit="1" customWidth="1"/>
    <col min="9" max="9" width="6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36.77734375" bestFit="1" customWidth="1"/>
  </cols>
  <sheetData>
    <row r="1" spans="1:18" ht="25.05" customHeight="1" x14ac:dyDescent="0.3">
      <c r="A1" s="84" t="s">
        <v>0</v>
      </c>
      <c r="B1" s="82"/>
      <c r="C1" s="82"/>
      <c r="D1" s="82"/>
      <c r="E1" s="82"/>
      <c r="F1" s="1" t="s">
        <v>1</v>
      </c>
      <c r="G1" s="2" t="s">
        <v>2</v>
      </c>
      <c r="H1" s="83">
        <v>45986</v>
      </c>
      <c r="I1" s="82"/>
      <c r="J1" s="82"/>
      <c r="K1" s="82"/>
      <c r="L1" s="82"/>
      <c r="M1" s="1" t="s">
        <v>3</v>
      </c>
      <c r="N1" s="88">
        <v>46001</v>
      </c>
      <c r="O1" s="82"/>
      <c r="P1" s="82"/>
      <c r="Q1" s="82"/>
      <c r="R1" s="82"/>
    </row>
    <row r="2" spans="1:18" ht="18" customHeight="1" x14ac:dyDescent="0.3">
      <c r="A2" s="85" t="s">
        <v>4</v>
      </c>
      <c r="B2" s="82"/>
      <c r="C2" s="82"/>
      <c r="D2" s="82"/>
      <c r="E2" s="82"/>
      <c r="F2" s="82"/>
      <c r="G2" s="87">
        <v>45982.825493595927</v>
      </c>
      <c r="H2" s="82"/>
      <c r="I2" s="82"/>
      <c r="J2" s="82"/>
      <c r="K2" s="89">
        <v>45982.825493596407</v>
      </c>
      <c r="L2" s="82"/>
      <c r="M2" s="82"/>
      <c r="N2" s="82"/>
      <c r="O2" s="82"/>
      <c r="P2" s="82"/>
      <c r="Q2" s="82"/>
      <c r="R2" s="82"/>
    </row>
    <row r="3" spans="1:18" ht="24" customHeight="1" x14ac:dyDescent="0.3">
      <c r="A3" s="86" t="s">
        <v>5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1:18" ht="22.05" customHeight="1" x14ac:dyDescent="0.3">
      <c r="A4" s="79" t="s">
        <v>6</v>
      </c>
      <c r="B4" s="80"/>
      <c r="C4" s="80"/>
      <c r="D4" s="80"/>
      <c r="E4" s="80"/>
      <c r="F4" s="81"/>
      <c r="G4" s="3">
        <v>45986</v>
      </c>
      <c r="H4" s="79" t="s">
        <v>7</v>
      </c>
      <c r="I4" s="80"/>
      <c r="J4" s="80"/>
      <c r="K4" s="80"/>
      <c r="L4" s="80"/>
      <c r="M4" s="80"/>
      <c r="N4" s="80"/>
      <c r="O4" s="80"/>
      <c r="P4" s="80"/>
      <c r="Q4" s="80"/>
      <c r="R4" s="81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7" t="s">
        <v>26</v>
      </c>
      <c r="B6" s="7" t="s">
        <v>27</v>
      </c>
      <c r="C6" s="7">
        <v>0.45833333333333331</v>
      </c>
      <c r="D6" s="7" t="s">
        <v>28</v>
      </c>
      <c r="E6" s="7" t="s">
        <v>29</v>
      </c>
      <c r="F6" s="7" t="s">
        <v>30</v>
      </c>
      <c r="G6" s="82"/>
      <c r="H6" s="8" t="s">
        <v>31</v>
      </c>
      <c r="I6" s="9">
        <v>0.64880000000000004</v>
      </c>
      <c r="J6" s="10">
        <v>109</v>
      </c>
      <c r="K6" s="11" t="s">
        <v>32</v>
      </c>
      <c r="L6" s="10">
        <v>66</v>
      </c>
      <c r="M6" s="10">
        <v>5</v>
      </c>
      <c r="N6" s="10">
        <v>12</v>
      </c>
      <c r="O6" s="11" t="s">
        <v>33</v>
      </c>
      <c r="P6" s="11">
        <v>0.45833333333333331</v>
      </c>
      <c r="Q6" s="10">
        <v>168</v>
      </c>
      <c r="R6" s="12" t="s">
        <v>34</v>
      </c>
    </row>
    <row r="7" spans="1:18" ht="17.399999999999999" customHeight="1" x14ac:dyDescent="0.3">
      <c r="A7" s="108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10"/>
    </row>
    <row r="8" spans="1:18" ht="17.399999999999999" customHeight="1" x14ac:dyDescent="0.3">
      <c r="A8" s="108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10"/>
    </row>
    <row r="9" spans="1:18" ht="22.05" customHeight="1" x14ac:dyDescent="0.3">
      <c r="A9" s="79" t="s">
        <v>6</v>
      </c>
      <c r="B9" s="80"/>
      <c r="C9" s="80"/>
      <c r="D9" s="80"/>
      <c r="E9" s="80"/>
      <c r="F9" s="81"/>
      <c r="G9" s="3">
        <v>45988</v>
      </c>
      <c r="H9" s="79" t="s">
        <v>7</v>
      </c>
      <c r="I9" s="80"/>
      <c r="J9" s="80"/>
      <c r="K9" s="80"/>
      <c r="L9" s="80"/>
      <c r="M9" s="80"/>
      <c r="N9" s="80"/>
      <c r="O9" s="80"/>
      <c r="P9" s="80"/>
      <c r="Q9" s="80"/>
      <c r="R9" s="81"/>
    </row>
    <row r="10" spans="1:18" ht="24" customHeight="1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5" t="s">
        <v>13</v>
      </c>
      <c r="G10" s="6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</row>
    <row r="11" spans="1:18" ht="49.95" customHeight="1" x14ac:dyDescent="0.3">
      <c r="A11" s="13" t="s">
        <v>26</v>
      </c>
      <c r="B11" s="13" t="s">
        <v>27</v>
      </c>
      <c r="C11" s="13">
        <v>0.91319444444444453</v>
      </c>
      <c r="D11" s="13" t="s">
        <v>28</v>
      </c>
      <c r="E11" s="13" t="s">
        <v>35</v>
      </c>
      <c r="F11" s="13" t="s">
        <v>36</v>
      </c>
      <c r="G11" s="82"/>
      <c r="H11" s="14" t="s">
        <v>31</v>
      </c>
      <c r="I11" s="15">
        <v>0.35120000000000001</v>
      </c>
      <c r="J11" s="16">
        <v>59</v>
      </c>
      <c r="K11" s="17" t="s">
        <v>32</v>
      </c>
      <c r="L11" s="16">
        <v>47</v>
      </c>
      <c r="M11" s="16">
        <v>1</v>
      </c>
      <c r="N11" s="16">
        <v>10</v>
      </c>
      <c r="O11" s="17" t="s">
        <v>37</v>
      </c>
      <c r="P11" s="17">
        <v>0.91319444444444453</v>
      </c>
      <c r="Q11" s="16">
        <v>168</v>
      </c>
      <c r="R11" s="18" t="s">
        <v>38</v>
      </c>
    </row>
    <row r="12" spans="1:18" ht="49.95" customHeight="1" x14ac:dyDescent="0.3">
      <c r="A12" s="19" t="s">
        <v>39</v>
      </c>
      <c r="B12" s="19" t="s">
        <v>40</v>
      </c>
      <c r="C12" s="19">
        <v>0.90625</v>
      </c>
      <c r="D12" s="19" t="s">
        <v>28</v>
      </c>
      <c r="E12" s="19" t="s">
        <v>35</v>
      </c>
      <c r="F12" s="19" t="s">
        <v>41</v>
      </c>
      <c r="G12" s="82"/>
      <c r="H12" s="20"/>
      <c r="I12" s="21"/>
      <c r="J12" s="21"/>
      <c r="K12" s="21"/>
      <c r="L12" s="21"/>
      <c r="M12" s="21"/>
      <c r="N12" s="21"/>
      <c r="O12" s="21"/>
      <c r="P12" s="21"/>
      <c r="Q12" s="21"/>
      <c r="R12" s="22"/>
    </row>
    <row r="13" spans="1:18" ht="17.399999999999999" customHeight="1" x14ac:dyDescent="0.3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10"/>
    </row>
    <row r="14" spans="1:18" ht="22.05" customHeight="1" x14ac:dyDescent="0.3">
      <c r="A14" s="79" t="s">
        <v>6</v>
      </c>
      <c r="B14" s="80"/>
      <c r="C14" s="80"/>
      <c r="D14" s="80"/>
      <c r="E14" s="80"/>
      <c r="F14" s="81"/>
      <c r="G14" s="3">
        <v>45989</v>
      </c>
      <c r="H14" s="79" t="s">
        <v>7</v>
      </c>
      <c r="I14" s="80"/>
      <c r="J14" s="80"/>
      <c r="K14" s="80"/>
      <c r="L14" s="80"/>
      <c r="M14" s="80"/>
      <c r="N14" s="80"/>
      <c r="O14" s="80"/>
      <c r="P14" s="80"/>
      <c r="Q14" s="80"/>
      <c r="R14" s="81"/>
    </row>
    <row r="15" spans="1:18" ht="24" customHeight="1" x14ac:dyDescent="0.3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5" t="s">
        <v>13</v>
      </c>
      <c r="G15" s="6" t="s">
        <v>14</v>
      </c>
      <c r="H15" s="4" t="s">
        <v>15</v>
      </c>
      <c r="I15" s="4" t="s">
        <v>16</v>
      </c>
      <c r="J15" s="4" t="s">
        <v>17</v>
      </c>
      <c r="K15" s="4" t="s">
        <v>18</v>
      </c>
      <c r="L15" s="4" t="s">
        <v>19</v>
      </c>
      <c r="M15" s="4" t="s">
        <v>20</v>
      </c>
      <c r="N15" s="4" t="s">
        <v>21</v>
      </c>
      <c r="O15" s="4" t="s">
        <v>22</v>
      </c>
      <c r="P15" s="4" t="s">
        <v>23</v>
      </c>
      <c r="Q15" s="4" t="s">
        <v>24</v>
      </c>
      <c r="R15" s="4" t="s">
        <v>25</v>
      </c>
    </row>
    <row r="16" spans="1:18" ht="49.95" customHeight="1" x14ac:dyDescent="0.3">
      <c r="A16" s="23" t="s">
        <v>39</v>
      </c>
      <c r="B16" s="23" t="s">
        <v>42</v>
      </c>
      <c r="C16" s="23">
        <v>0.45833333333333331</v>
      </c>
      <c r="D16" s="23" t="s">
        <v>28</v>
      </c>
      <c r="E16" s="23" t="s">
        <v>35</v>
      </c>
      <c r="F16" s="23" t="s">
        <v>41</v>
      </c>
      <c r="G16" s="82"/>
      <c r="H16" s="20"/>
      <c r="I16" s="21"/>
      <c r="J16" s="21"/>
      <c r="K16" s="21"/>
      <c r="L16" s="21"/>
      <c r="M16" s="21"/>
      <c r="N16" s="21"/>
      <c r="O16" s="21"/>
      <c r="P16" s="21"/>
      <c r="Q16" s="21"/>
      <c r="R16" s="22"/>
    </row>
    <row r="17" spans="1:18" ht="17.399999999999999" customHeight="1" x14ac:dyDescent="0.3">
      <c r="A17" s="108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10"/>
    </row>
    <row r="18" spans="1:18" ht="22.05" customHeight="1" x14ac:dyDescent="0.3">
      <c r="A18" s="79" t="s">
        <v>6</v>
      </c>
      <c r="B18" s="80"/>
      <c r="C18" s="80"/>
      <c r="D18" s="80"/>
      <c r="E18" s="80"/>
      <c r="F18" s="81"/>
      <c r="G18" s="3">
        <v>45990</v>
      </c>
      <c r="H18" s="79" t="s">
        <v>7</v>
      </c>
      <c r="I18" s="80"/>
      <c r="J18" s="80"/>
      <c r="K18" s="80"/>
      <c r="L18" s="80"/>
      <c r="M18" s="80"/>
      <c r="N18" s="80"/>
      <c r="O18" s="80"/>
      <c r="P18" s="80"/>
      <c r="Q18" s="80"/>
      <c r="R18" s="81"/>
    </row>
    <row r="19" spans="1:18" ht="24" customHeight="1" x14ac:dyDescent="0.3">
      <c r="A19" s="4" t="s">
        <v>8</v>
      </c>
      <c r="B19" s="4" t="s">
        <v>9</v>
      </c>
      <c r="C19" s="4" t="s">
        <v>10</v>
      </c>
      <c r="D19" s="4" t="s">
        <v>11</v>
      </c>
      <c r="E19" s="4" t="s">
        <v>12</v>
      </c>
      <c r="F19" s="5" t="s">
        <v>13</v>
      </c>
      <c r="G19" s="6" t="s">
        <v>14</v>
      </c>
      <c r="H19" s="4" t="s">
        <v>15</v>
      </c>
      <c r="I19" s="4" t="s">
        <v>16</v>
      </c>
      <c r="J19" s="4" t="s">
        <v>17</v>
      </c>
      <c r="K19" s="4" t="s">
        <v>18</v>
      </c>
      <c r="L19" s="4" t="s">
        <v>19</v>
      </c>
      <c r="M19" s="4" t="s">
        <v>20</v>
      </c>
      <c r="N19" s="4" t="s">
        <v>21</v>
      </c>
      <c r="O19" s="4" t="s">
        <v>22</v>
      </c>
      <c r="P19" s="4" t="s">
        <v>23</v>
      </c>
      <c r="Q19" s="4" t="s">
        <v>24</v>
      </c>
      <c r="R19" s="4" t="s">
        <v>25</v>
      </c>
    </row>
    <row r="20" spans="1:18" ht="49.95" customHeight="1" x14ac:dyDescent="0.3">
      <c r="A20" s="13" t="s">
        <v>26</v>
      </c>
      <c r="B20" s="13" t="s">
        <v>27</v>
      </c>
      <c r="C20" s="13">
        <v>0.86458333333333337</v>
      </c>
      <c r="D20" s="13" t="s">
        <v>28</v>
      </c>
      <c r="E20" s="13" t="s">
        <v>35</v>
      </c>
      <c r="F20" s="13" t="s">
        <v>36</v>
      </c>
      <c r="G20" s="82"/>
      <c r="H20" s="24" t="s">
        <v>31</v>
      </c>
      <c r="I20" s="25">
        <v>0.22620000000000001</v>
      </c>
      <c r="J20" s="26">
        <v>38</v>
      </c>
      <c r="K20" s="27" t="s">
        <v>32</v>
      </c>
      <c r="L20" s="26">
        <v>25</v>
      </c>
      <c r="M20" s="26">
        <v>4</v>
      </c>
      <c r="N20" s="26">
        <v>1</v>
      </c>
      <c r="O20" s="27" t="s">
        <v>37</v>
      </c>
      <c r="P20" s="27">
        <v>0.86458333333333337</v>
      </c>
      <c r="Q20" s="26">
        <v>168</v>
      </c>
      <c r="R20" s="28" t="s">
        <v>43</v>
      </c>
    </row>
    <row r="21" spans="1:18" ht="17.399999999999999" customHeight="1" x14ac:dyDescent="0.3">
      <c r="A21" s="108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10"/>
    </row>
    <row r="22" spans="1:18" ht="22.05" customHeight="1" x14ac:dyDescent="0.3">
      <c r="A22" s="79" t="s">
        <v>6</v>
      </c>
      <c r="B22" s="80"/>
      <c r="C22" s="80"/>
      <c r="D22" s="80"/>
      <c r="E22" s="80"/>
      <c r="F22" s="81"/>
      <c r="G22" s="3">
        <v>45991</v>
      </c>
      <c r="H22" s="79" t="s">
        <v>7</v>
      </c>
      <c r="I22" s="80"/>
      <c r="J22" s="80"/>
      <c r="K22" s="80"/>
      <c r="L22" s="80"/>
      <c r="M22" s="80"/>
      <c r="N22" s="80"/>
      <c r="O22" s="80"/>
      <c r="P22" s="80"/>
      <c r="Q22" s="80"/>
      <c r="R22" s="81"/>
    </row>
    <row r="23" spans="1:18" ht="24" customHeight="1" x14ac:dyDescent="0.3">
      <c r="A23" s="4" t="s">
        <v>8</v>
      </c>
      <c r="B23" s="4" t="s">
        <v>9</v>
      </c>
      <c r="C23" s="4" t="s">
        <v>10</v>
      </c>
      <c r="D23" s="4" t="s">
        <v>11</v>
      </c>
      <c r="E23" s="4" t="s">
        <v>12</v>
      </c>
      <c r="F23" s="5" t="s">
        <v>13</v>
      </c>
      <c r="G23" s="6" t="s">
        <v>14</v>
      </c>
      <c r="H23" s="4" t="s">
        <v>15</v>
      </c>
      <c r="I23" s="4" t="s">
        <v>16</v>
      </c>
      <c r="J23" s="4" t="s">
        <v>17</v>
      </c>
      <c r="K23" s="4" t="s">
        <v>18</v>
      </c>
      <c r="L23" s="4" t="s">
        <v>19</v>
      </c>
      <c r="M23" s="4" t="s">
        <v>20</v>
      </c>
      <c r="N23" s="4" t="s">
        <v>21</v>
      </c>
      <c r="O23" s="4" t="s">
        <v>22</v>
      </c>
      <c r="P23" s="4" t="s">
        <v>23</v>
      </c>
      <c r="Q23" s="4" t="s">
        <v>24</v>
      </c>
      <c r="R23" s="4" t="s">
        <v>25</v>
      </c>
    </row>
    <row r="24" spans="1:18" ht="49.95" customHeight="1" x14ac:dyDescent="0.3">
      <c r="A24" s="23" t="s">
        <v>39</v>
      </c>
      <c r="B24" s="23" t="s">
        <v>42</v>
      </c>
      <c r="C24" s="23">
        <v>0.45833333333333331</v>
      </c>
      <c r="D24" s="23" t="s">
        <v>28</v>
      </c>
      <c r="E24" s="23" t="s">
        <v>44</v>
      </c>
      <c r="F24" s="23" t="s">
        <v>41</v>
      </c>
      <c r="G24" s="82"/>
      <c r="H24" s="20"/>
      <c r="I24" s="21"/>
      <c r="J24" s="21"/>
      <c r="K24" s="21"/>
      <c r="L24" s="21"/>
      <c r="M24" s="21"/>
      <c r="N24" s="21"/>
      <c r="O24" s="21"/>
      <c r="P24" s="21"/>
      <c r="Q24" s="21"/>
      <c r="R24" s="22"/>
    </row>
    <row r="25" spans="1:18" ht="17.399999999999999" customHeight="1" x14ac:dyDescent="0.3">
      <c r="A25" s="108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10"/>
    </row>
    <row r="26" spans="1:18" ht="17.399999999999999" customHeight="1" x14ac:dyDescent="0.3">
      <c r="A26" s="108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10"/>
    </row>
    <row r="27" spans="1:18" ht="22.05" customHeight="1" x14ac:dyDescent="0.3">
      <c r="A27" s="79" t="s">
        <v>6</v>
      </c>
      <c r="B27" s="80"/>
      <c r="C27" s="80"/>
      <c r="D27" s="80"/>
      <c r="E27" s="80"/>
      <c r="F27" s="81"/>
      <c r="G27" s="3">
        <v>45993</v>
      </c>
      <c r="H27" s="79" t="s">
        <v>7</v>
      </c>
      <c r="I27" s="80"/>
      <c r="J27" s="80"/>
      <c r="K27" s="80"/>
      <c r="L27" s="80"/>
      <c r="M27" s="80"/>
      <c r="N27" s="80"/>
      <c r="O27" s="80"/>
      <c r="P27" s="80"/>
      <c r="Q27" s="80"/>
      <c r="R27" s="81"/>
    </row>
    <row r="28" spans="1:18" ht="24" customHeight="1" x14ac:dyDescent="0.3">
      <c r="A28" s="4" t="s">
        <v>8</v>
      </c>
      <c r="B28" s="4" t="s">
        <v>9</v>
      </c>
      <c r="C28" s="4" t="s">
        <v>10</v>
      </c>
      <c r="D28" s="4" t="s">
        <v>11</v>
      </c>
      <c r="E28" s="4" t="s">
        <v>12</v>
      </c>
      <c r="F28" s="5" t="s">
        <v>13</v>
      </c>
      <c r="G28" s="6" t="s">
        <v>14</v>
      </c>
      <c r="H28" s="4" t="s">
        <v>15</v>
      </c>
      <c r="I28" s="4" t="s">
        <v>16</v>
      </c>
      <c r="J28" s="4" t="s">
        <v>17</v>
      </c>
      <c r="K28" s="4" t="s">
        <v>18</v>
      </c>
      <c r="L28" s="4" t="s">
        <v>19</v>
      </c>
      <c r="M28" s="4" t="s">
        <v>20</v>
      </c>
      <c r="N28" s="4" t="s">
        <v>21</v>
      </c>
      <c r="O28" s="4" t="s">
        <v>22</v>
      </c>
      <c r="P28" s="4" t="s">
        <v>23</v>
      </c>
      <c r="Q28" s="4" t="s">
        <v>24</v>
      </c>
      <c r="R28" s="4" t="s">
        <v>25</v>
      </c>
    </row>
    <row r="29" spans="1:18" ht="49.95" customHeight="1" x14ac:dyDescent="0.3">
      <c r="A29" s="13" t="s">
        <v>26</v>
      </c>
      <c r="B29" s="13" t="s">
        <v>27</v>
      </c>
      <c r="C29" s="13">
        <v>0.45833333333333331</v>
      </c>
      <c r="D29" s="13" t="s">
        <v>28</v>
      </c>
      <c r="E29" s="13" t="s">
        <v>35</v>
      </c>
      <c r="F29" s="13" t="s">
        <v>45</v>
      </c>
      <c r="G29" s="82"/>
      <c r="H29" s="24" t="s">
        <v>31</v>
      </c>
      <c r="I29" s="25">
        <v>0.24399999999999999</v>
      </c>
      <c r="J29" s="26">
        <v>41</v>
      </c>
      <c r="K29" s="27" t="s">
        <v>32</v>
      </c>
      <c r="L29" s="26">
        <v>18</v>
      </c>
      <c r="M29" s="26">
        <v>1</v>
      </c>
      <c r="N29" s="26">
        <v>5</v>
      </c>
      <c r="O29" s="27" t="s">
        <v>37</v>
      </c>
      <c r="P29" s="27">
        <v>0.45833333333333331</v>
      </c>
      <c r="Q29" s="26">
        <v>168</v>
      </c>
      <c r="R29" s="28" t="s">
        <v>46</v>
      </c>
    </row>
    <row r="30" spans="1:18" ht="17.399999999999999" customHeight="1" x14ac:dyDescent="0.3">
      <c r="A30" s="108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10"/>
    </row>
    <row r="31" spans="1:18" ht="17.399999999999999" customHeight="1" x14ac:dyDescent="0.3">
      <c r="A31" s="108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10"/>
    </row>
    <row r="32" spans="1:18" ht="22.05" customHeight="1" x14ac:dyDescent="0.3">
      <c r="A32" s="79" t="s">
        <v>6</v>
      </c>
      <c r="B32" s="80"/>
      <c r="C32" s="80"/>
      <c r="D32" s="80"/>
      <c r="E32" s="80"/>
      <c r="F32" s="81"/>
      <c r="G32" s="3">
        <v>45995</v>
      </c>
      <c r="H32" s="79" t="s">
        <v>7</v>
      </c>
      <c r="I32" s="80"/>
      <c r="J32" s="80"/>
      <c r="K32" s="80"/>
      <c r="L32" s="80"/>
      <c r="M32" s="80"/>
      <c r="N32" s="80"/>
      <c r="O32" s="80"/>
      <c r="P32" s="80"/>
      <c r="Q32" s="80"/>
      <c r="R32" s="81"/>
    </row>
    <row r="33" spans="1:18" ht="24" customHeight="1" x14ac:dyDescent="0.3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</v>
      </c>
      <c r="F33" s="5" t="s">
        <v>13</v>
      </c>
      <c r="G33" s="6" t="s">
        <v>14</v>
      </c>
      <c r="H33" s="4" t="s">
        <v>15</v>
      </c>
      <c r="I33" s="4" t="s">
        <v>16</v>
      </c>
      <c r="J33" s="4" t="s">
        <v>17</v>
      </c>
      <c r="K33" s="4" t="s">
        <v>18</v>
      </c>
      <c r="L33" s="4" t="s">
        <v>19</v>
      </c>
      <c r="M33" s="4" t="s">
        <v>20</v>
      </c>
      <c r="N33" s="4" t="s">
        <v>21</v>
      </c>
      <c r="O33" s="4" t="s">
        <v>22</v>
      </c>
      <c r="P33" s="4" t="s">
        <v>23</v>
      </c>
      <c r="Q33" s="4" t="s">
        <v>24</v>
      </c>
      <c r="R33" s="4" t="s">
        <v>25</v>
      </c>
    </row>
    <row r="34" spans="1:18" ht="49.95" customHeight="1" x14ac:dyDescent="0.3">
      <c r="A34" s="29" t="s">
        <v>26</v>
      </c>
      <c r="B34" s="29" t="s">
        <v>27</v>
      </c>
      <c r="C34" s="29">
        <v>0.91319444444444453</v>
      </c>
      <c r="D34" s="29" t="s">
        <v>28</v>
      </c>
      <c r="E34" s="29" t="s">
        <v>35</v>
      </c>
      <c r="F34" s="29" t="s">
        <v>36</v>
      </c>
      <c r="G34" s="82"/>
      <c r="H34" s="30" t="s">
        <v>31</v>
      </c>
      <c r="I34" s="31">
        <v>0.16669999999999999</v>
      </c>
      <c r="J34" s="32">
        <v>28</v>
      </c>
      <c r="K34" s="33" t="s">
        <v>32</v>
      </c>
      <c r="L34" s="32">
        <v>8</v>
      </c>
      <c r="M34" s="32">
        <v>3</v>
      </c>
      <c r="N34" s="32">
        <v>0</v>
      </c>
      <c r="O34" s="33" t="s">
        <v>37</v>
      </c>
      <c r="P34" s="33">
        <v>0.91319444444444453</v>
      </c>
      <c r="Q34" s="32">
        <v>168</v>
      </c>
      <c r="R34" s="34" t="s">
        <v>47</v>
      </c>
    </row>
    <row r="35" spans="1:18" ht="49.95" customHeight="1" x14ac:dyDescent="0.3">
      <c r="A35" s="19" t="s">
        <v>39</v>
      </c>
      <c r="B35" s="19" t="s">
        <v>40</v>
      </c>
      <c r="C35" s="19">
        <v>0.85069444444444453</v>
      </c>
      <c r="D35" s="19" t="s">
        <v>28</v>
      </c>
      <c r="E35" s="19" t="s">
        <v>35</v>
      </c>
      <c r="F35" s="19" t="s">
        <v>48</v>
      </c>
      <c r="G35" s="82"/>
      <c r="H35" s="20"/>
      <c r="I35" s="21"/>
      <c r="J35" s="21"/>
      <c r="K35" s="21"/>
      <c r="L35" s="21"/>
      <c r="M35" s="21"/>
      <c r="N35" s="21"/>
      <c r="O35" s="21"/>
      <c r="P35" s="21"/>
      <c r="Q35" s="21"/>
      <c r="R35" s="22"/>
    </row>
    <row r="36" spans="1:18" ht="17.399999999999999" customHeight="1" x14ac:dyDescent="0.3">
      <c r="A36" s="108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10"/>
    </row>
    <row r="37" spans="1:18" ht="22.05" customHeight="1" x14ac:dyDescent="0.3">
      <c r="A37" s="79" t="s">
        <v>6</v>
      </c>
      <c r="B37" s="80"/>
      <c r="C37" s="80"/>
      <c r="D37" s="80"/>
      <c r="E37" s="80"/>
      <c r="F37" s="81"/>
      <c r="G37" s="3">
        <v>45996</v>
      </c>
      <c r="H37" s="79" t="s">
        <v>7</v>
      </c>
      <c r="I37" s="80"/>
      <c r="J37" s="80"/>
      <c r="K37" s="80"/>
      <c r="L37" s="80"/>
      <c r="M37" s="80"/>
      <c r="N37" s="80"/>
      <c r="O37" s="80"/>
      <c r="P37" s="80"/>
      <c r="Q37" s="80"/>
      <c r="R37" s="81"/>
    </row>
    <row r="38" spans="1:18" ht="24" customHeight="1" x14ac:dyDescent="0.3">
      <c r="A38" s="4" t="s">
        <v>8</v>
      </c>
      <c r="B38" s="4" t="s">
        <v>9</v>
      </c>
      <c r="C38" s="4" t="s">
        <v>10</v>
      </c>
      <c r="D38" s="4" t="s">
        <v>11</v>
      </c>
      <c r="E38" s="4" t="s">
        <v>12</v>
      </c>
      <c r="F38" s="5" t="s">
        <v>13</v>
      </c>
      <c r="G38" s="6" t="s">
        <v>14</v>
      </c>
      <c r="H38" s="4" t="s">
        <v>15</v>
      </c>
      <c r="I38" s="4" t="s">
        <v>16</v>
      </c>
      <c r="J38" s="4" t="s">
        <v>17</v>
      </c>
      <c r="K38" s="4" t="s">
        <v>18</v>
      </c>
      <c r="L38" s="4" t="s">
        <v>19</v>
      </c>
      <c r="M38" s="4" t="s">
        <v>20</v>
      </c>
      <c r="N38" s="4" t="s">
        <v>21</v>
      </c>
      <c r="O38" s="4" t="s">
        <v>22</v>
      </c>
      <c r="P38" s="4" t="s">
        <v>23</v>
      </c>
      <c r="Q38" s="4" t="s">
        <v>24</v>
      </c>
      <c r="R38" s="4" t="s">
        <v>25</v>
      </c>
    </row>
    <row r="39" spans="1:18" ht="49.95" customHeight="1" x14ac:dyDescent="0.3">
      <c r="A39" s="23" t="s">
        <v>39</v>
      </c>
      <c r="B39" s="23" t="s">
        <v>42</v>
      </c>
      <c r="C39" s="23">
        <v>0.45833333333333331</v>
      </c>
      <c r="D39" s="23" t="s">
        <v>28</v>
      </c>
      <c r="E39" s="23" t="s">
        <v>35</v>
      </c>
      <c r="F39" s="23" t="s">
        <v>41</v>
      </c>
      <c r="G39" s="82"/>
      <c r="H39" s="20"/>
      <c r="I39" s="21"/>
      <c r="J39" s="21"/>
      <c r="K39" s="21"/>
      <c r="L39" s="21"/>
      <c r="M39" s="21"/>
      <c r="N39" s="21"/>
      <c r="O39" s="21"/>
      <c r="P39" s="21"/>
      <c r="Q39" s="21"/>
      <c r="R39" s="22"/>
    </row>
    <row r="40" spans="1:18" ht="17.399999999999999" customHeight="1" x14ac:dyDescent="0.3">
      <c r="A40" s="108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10"/>
    </row>
    <row r="41" spans="1:18" ht="22.05" customHeight="1" x14ac:dyDescent="0.3">
      <c r="A41" s="79" t="s">
        <v>6</v>
      </c>
      <c r="B41" s="80"/>
      <c r="C41" s="80"/>
      <c r="D41" s="80"/>
      <c r="E41" s="80"/>
      <c r="F41" s="81"/>
      <c r="G41" s="3">
        <v>45997</v>
      </c>
      <c r="H41" s="79" t="s">
        <v>7</v>
      </c>
      <c r="I41" s="80"/>
      <c r="J41" s="80"/>
      <c r="K41" s="80"/>
      <c r="L41" s="80"/>
      <c r="M41" s="80"/>
      <c r="N41" s="80"/>
      <c r="O41" s="80"/>
      <c r="P41" s="80"/>
      <c r="Q41" s="80"/>
      <c r="R41" s="81"/>
    </row>
    <row r="42" spans="1:18" ht="24" customHeight="1" x14ac:dyDescent="0.3">
      <c r="A42" s="4" t="s">
        <v>8</v>
      </c>
      <c r="B42" s="4" t="s">
        <v>9</v>
      </c>
      <c r="C42" s="4" t="s">
        <v>10</v>
      </c>
      <c r="D42" s="4" t="s">
        <v>11</v>
      </c>
      <c r="E42" s="4" t="s">
        <v>12</v>
      </c>
      <c r="F42" s="5" t="s">
        <v>13</v>
      </c>
      <c r="G42" s="6" t="s">
        <v>14</v>
      </c>
      <c r="H42" s="4" t="s">
        <v>15</v>
      </c>
      <c r="I42" s="4" t="s">
        <v>16</v>
      </c>
      <c r="J42" s="4" t="s">
        <v>17</v>
      </c>
      <c r="K42" s="4" t="s">
        <v>18</v>
      </c>
      <c r="L42" s="4" t="s">
        <v>19</v>
      </c>
      <c r="M42" s="4" t="s">
        <v>20</v>
      </c>
      <c r="N42" s="4" t="s">
        <v>21</v>
      </c>
      <c r="O42" s="4" t="s">
        <v>22</v>
      </c>
      <c r="P42" s="4" t="s">
        <v>23</v>
      </c>
      <c r="Q42" s="4" t="s">
        <v>24</v>
      </c>
      <c r="R42" s="4" t="s">
        <v>25</v>
      </c>
    </row>
    <row r="43" spans="1:18" ht="49.95" customHeight="1" x14ac:dyDescent="0.3">
      <c r="A43" s="35" t="s">
        <v>26</v>
      </c>
      <c r="B43" s="35" t="s">
        <v>27</v>
      </c>
      <c r="C43" s="35">
        <v>0.86458333333333337</v>
      </c>
      <c r="D43" s="35" t="s">
        <v>28</v>
      </c>
      <c r="E43" s="35" t="s">
        <v>35</v>
      </c>
      <c r="F43" s="35" t="s">
        <v>36</v>
      </c>
      <c r="G43" s="82"/>
      <c r="H43" s="36" t="s">
        <v>31</v>
      </c>
      <c r="I43" s="37">
        <v>5.3600000000000002E-2</v>
      </c>
      <c r="J43" s="38">
        <v>9</v>
      </c>
      <c r="K43" s="39" t="s">
        <v>49</v>
      </c>
      <c r="L43" s="38">
        <v>4</v>
      </c>
      <c r="M43" s="38">
        <v>0</v>
      </c>
      <c r="N43" s="38">
        <v>0</v>
      </c>
      <c r="O43" s="39" t="s">
        <v>37</v>
      </c>
      <c r="P43" s="39">
        <v>0.86458333333333337</v>
      </c>
      <c r="Q43" s="38">
        <v>168</v>
      </c>
      <c r="R43" s="40" t="s">
        <v>50</v>
      </c>
    </row>
    <row r="44" spans="1:18" ht="17.399999999999999" customHeight="1" x14ac:dyDescent="0.3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10"/>
    </row>
    <row r="45" spans="1:18" ht="22.05" customHeight="1" x14ac:dyDescent="0.3">
      <c r="A45" s="79" t="s">
        <v>6</v>
      </c>
      <c r="B45" s="80"/>
      <c r="C45" s="80"/>
      <c r="D45" s="80"/>
      <c r="E45" s="80"/>
      <c r="F45" s="81"/>
      <c r="G45" s="3">
        <v>45998</v>
      </c>
      <c r="H45" s="79" t="s">
        <v>7</v>
      </c>
      <c r="I45" s="80"/>
      <c r="J45" s="80"/>
      <c r="K45" s="80"/>
      <c r="L45" s="80"/>
      <c r="M45" s="80"/>
      <c r="N45" s="80"/>
      <c r="O45" s="80"/>
      <c r="P45" s="80"/>
      <c r="Q45" s="80"/>
      <c r="R45" s="81"/>
    </row>
    <row r="46" spans="1:18" ht="24" customHeight="1" x14ac:dyDescent="0.3">
      <c r="A46" s="4" t="s">
        <v>8</v>
      </c>
      <c r="B46" s="4" t="s">
        <v>9</v>
      </c>
      <c r="C46" s="4" t="s">
        <v>10</v>
      </c>
      <c r="D46" s="4" t="s">
        <v>11</v>
      </c>
      <c r="E46" s="4" t="s">
        <v>12</v>
      </c>
      <c r="F46" s="5" t="s">
        <v>13</v>
      </c>
      <c r="G46" s="6" t="s">
        <v>14</v>
      </c>
      <c r="H46" s="4" t="s">
        <v>15</v>
      </c>
      <c r="I46" s="4" t="s">
        <v>16</v>
      </c>
      <c r="J46" s="4" t="s">
        <v>17</v>
      </c>
      <c r="K46" s="4" t="s">
        <v>18</v>
      </c>
      <c r="L46" s="4" t="s">
        <v>19</v>
      </c>
      <c r="M46" s="4" t="s">
        <v>20</v>
      </c>
      <c r="N46" s="4" t="s">
        <v>21</v>
      </c>
      <c r="O46" s="4" t="s">
        <v>22</v>
      </c>
      <c r="P46" s="4" t="s">
        <v>23</v>
      </c>
      <c r="Q46" s="4" t="s">
        <v>24</v>
      </c>
      <c r="R46" s="4" t="s">
        <v>25</v>
      </c>
    </row>
    <row r="47" spans="1:18" ht="49.95" customHeight="1" x14ac:dyDescent="0.3">
      <c r="A47" s="23" t="s">
        <v>39</v>
      </c>
      <c r="B47" s="23" t="s">
        <v>42</v>
      </c>
      <c r="C47" s="23">
        <v>0.45833333333333331</v>
      </c>
      <c r="D47" s="23" t="s">
        <v>28</v>
      </c>
      <c r="E47" s="23" t="s">
        <v>51</v>
      </c>
      <c r="F47" s="23" t="s">
        <v>41</v>
      </c>
      <c r="G47" s="82"/>
      <c r="H47" s="20"/>
      <c r="I47" s="21"/>
      <c r="J47" s="21"/>
      <c r="K47" s="21"/>
      <c r="L47" s="21"/>
      <c r="M47" s="21"/>
      <c r="N47" s="21"/>
      <c r="O47" s="21"/>
      <c r="P47" s="21"/>
      <c r="Q47" s="21"/>
      <c r="R47" s="22"/>
    </row>
    <row r="48" spans="1:18" ht="17.399999999999999" customHeight="1" x14ac:dyDescent="0.3">
      <c r="A48" s="108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10"/>
    </row>
    <row r="49" spans="1:18" ht="17.399999999999999" customHeight="1" x14ac:dyDescent="0.3">
      <c r="A49" s="108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10"/>
    </row>
    <row r="50" spans="1:18" ht="22.05" customHeight="1" x14ac:dyDescent="0.3">
      <c r="A50" s="79" t="s">
        <v>6</v>
      </c>
      <c r="B50" s="80"/>
      <c r="C50" s="80"/>
      <c r="D50" s="80"/>
      <c r="E50" s="80"/>
      <c r="F50" s="81"/>
      <c r="G50" s="3">
        <v>46000</v>
      </c>
      <c r="H50" s="79" t="s">
        <v>7</v>
      </c>
      <c r="I50" s="80"/>
      <c r="J50" s="80"/>
      <c r="K50" s="80"/>
      <c r="L50" s="80"/>
      <c r="M50" s="80"/>
      <c r="N50" s="80"/>
      <c r="O50" s="80"/>
      <c r="P50" s="80"/>
      <c r="Q50" s="80"/>
      <c r="R50" s="81"/>
    </row>
    <row r="51" spans="1:18" ht="24" customHeight="1" x14ac:dyDescent="0.3">
      <c r="A51" s="4" t="s">
        <v>8</v>
      </c>
      <c r="B51" s="4" t="s">
        <v>9</v>
      </c>
      <c r="C51" s="4" t="s">
        <v>10</v>
      </c>
      <c r="D51" s="4" t="s">
        <v>11</v>
      </c>
      <c r="E51" s="4" t="s">
        <v>12</v>
      </c>
      <c r="F51" s="5" t="s">
        <v>13</v>
      </c>
      <c r="G51" s="6" t="s">
        <v>14</v>
      </c>
      <c r="H51" s="4" t="s">
        <v>15</v>
      </c>
      <c r="I51" s="4" t="s">
        <v>16</v>
      </c>
      <c r="J51" s="4" t="s">
        <v>17</v>
      </c>
      <c r="K51" s="4" t="s">
        <v>18</v>
      </c>
      <c r="L51" s="4" t="s">
        <v>19</v>
      </c>
      <c r="M51" s="4" t="s">
        <v>20</v>
      </c>
      <c r="N51" s="4" t="s">
        <v>21</v>
      </c>
      <c r="O51" s="4" t="s">
        <v>22</v>
      </c>
      <c r="P51" s="4" t="s">
        <v>23</v>
      </c>
      <c r="Q51" s="4" t="s">
        <v>24</v>
      </c>
      <c r="R51" s="4" t="s">
        <v>25</v>
      </c>
    </row>
    <row r="52" spans="1:18" ht="49.95" customHeight="1" x14ac:dyDescent="0.3">
      <c r="A52" s="41" t="s">
        <v>26</v>
      </c>
      <c r="B52" s="41" t="s">
        <v>27</v>
      </c>
      <c r="C52" s="41">
        <v>0.45833333333333331</v>
      </c>
      <c r="D52" s="41" t="s">
        <v>28</v>
      </c>
      <c r="E52" s="41" t="s">
        <v>35</v>
      </c>
      <c r="F52" s="41" t="s">
        <v>45</v>
      </c>
      <c r="G52" s="82"/>
      <c r="H52" s="42" t="s">
        <v>31</v>
      </c>
      <c r="I52" s="43">
        <v>7.1400000000000005E-2</v>
      </c>
      <c r="J52" s="44">
        <v>12</v>
      </c>
      <c r="K52" s="45" t="s">
        <v>49</v>
      </c>
      <c r="L52" s="44">
        <v>4</v>
      </c>
      <c r="M52" s="44">
        <v>0</v>
      </c>
      <c r="N52" s="44">
        <v>0</v>
      </c>
      <c r="O52" s="45" t="s">
        <v>37</v>
      </c>
      <c r="P52" s="45">
        <v>0.45833333333333331</v>
      </c>
      <c r="Q52" s="44">
        <v>168</v>
      </c>
      <c r="R52" s="46" t="s">
        <v>52</v>
      </c>
    </row>
    <row r="53" spans="1:18" ht="17.399999999999999" customHeight="1" x14ac:dyDescent="0.3">
      <c r="A53" s="108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10"/>
    </row>
  </sheetData>
  <mergeCells count="55">
    <mergeCell ref="A53:R53"/>
    <mergeCell ref="G39"/>
    <mergeCell ref="A9:F9"/>
    <mergeCell ref="H45:R45"/>
    <mergeCell ref="A13:R13"/>
    <mergeCell ref="A44:R44"/>
    <mergeCell ref="H32:R32"/>
    <mergeCell ref="A31:R31"/>
    <mergeCell ref="H37:R37"/>
    <mergeCell ref="H22:R22"/>
    <mergeCell ref="A40:R40"/>
    <mergeCell ref="A48:R48"/>
    <mergeCell ref="H27:R27"/>
    <mergeCell ref="A30:R30"/>
    <mergeCell ref="A49:R49"/>
    <mergeCell ref="A45:F45"/>
    <mergeCell ref="G52"/>
    <mergeCell ref="A22:F22"/>
    <mergeCell ref="G2:J2"/>
    <mergeCell ref="A4:F4"/>
    <mergeCell ref="A17:R17"/>
    <mergeCell ref="A8:R8"/>
    <mergeCell ref="K2:R2"/>
    <mergeCell ref="G6"/>
    <mergeCell ref="A36:R36"/>
    <mergeCell ref="G24"/>
    <mergeCell ref="G11:G12"/>
    <mergeCell ref="H18:R18"/>
    <mergeCell ref="H14:R14"/>
    <mergeCell ref="A50:F50"/>
    <mergeCell ref="G34:G35"/>
    <mergeCell ref="H4:R4"/>
    <mergeCell ref="H50:R50"/>
    <mergeCell ref="A2:F2"/>
    <mergeCell ref="A3:R3"/>
    <mergeCell ref="H9:R9"/>
    <mergeCell ref="A21:R21"/>
    <mergeCell ref="A26:R26"/>
    <mergeCell ref="A14:F14"/>
    <mergeCell ref="G43"/>
    <mergeCell ref="A32:F32"/>
    <mergeCell ref="H1:L1"/>
    <mergeCell ref="A1:E1"/>
    <mergeCell ref="A18:F18"/>
    <mergeCell ref="G47"/>
    <mergeCell ref="H41:R41"/>
    <mergeCell ref="G16"/>
    <mergeCell ref="N1:R1"/>
    <mergeCell ref="A41:F41"/>
    <mergeCell ref="A7:R7"/>
    <mergeCell ref="A25:R25"/>
    <mergeCell ref="G20"/>
    <mergeCell ref="A37:F37"/>
    <mergeCell ref="G29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"/>
  <sheetViews>
    <sheetView workbookViewId="0"/>
  </sheetViews>
  <sheetFormatPr defaultRowHeight="15.6" outlineLevelCol="1" x14ac:dyDescent="0.3"/>
  <cols>
    <col min="1" max="1" width="9.88671875" style="95" bestFit="1" customWidth="1"/>
    <col min="2" max="2" width="10.44140625" style="95" bestFit="1" customWidth="1"/>
    <col min="3" max="3" width="6.77734375" style="95" bestFit="1" customWidth="1"/>
    <col min="4" max="4" width="5.5546875" style="95" bestFit="1" customWidth="1"/>
    <col min="5" max="5" width="7.44140625" style="95" bestFit="1" customWidth="1"/>
    <col min="6" max="6" width="4.21875" style="95" bestFit="1" customWidth="1"/>
    <col min="7" max="7" width="10" style="95" bestFit="1" customWidth="1"/>
    <col min="8" max="8" width="8.5546875" style="95" bestFit="1" customWidth="1"/>
    <col min="9" max="10" width="7" style="95" bestFit="1" customWidth="1"/>
    <col min="11" max="11" width="10.5546875" style="95" bestFit="1" customWidth="1"/>
    <col min="12" max="12" width="18.109375" style="95" bestFit="1" customWidth="1"/>
    <col min="13" max="13" width="7.6640625" style="95" bestFit="1" customWidth="1" outlineLevel="1"/>
    <col min="14" max="14" width="6.33203125" style="95" bestFit="1" customWidth="1" outlineLevel="1"/>
    <col min="15" max="15" width="8" style="95" bestFit="1" customWidth="1" outlineLevel="1"/>
    <col min="16" max="16" width="13.6640625" style="95" bestFit="1" customWidth="1"/>
    <col min="17" max="26" width="3.88671875" style="95" bestFit="1" customWidth="1"/>
    <col min="27" max="27" width="4" style="95" bestFit="1" customWidth="1"/>
    <col min="28" max="28" width="3.88671875" style="95" bestFit="1" customWidth="1"/>
    <col min="29" max="29" width="4.21875" style="95" bestFit="1" customWidth="1"/>
    <col min="30" max="31" width="4.5546875" style="95" bestFit="1" customWidth="1"/>
    <col min="32" max="36" width="3.88671875" style="95" bestFit="1" customWidth="1"/>
    <col min="37" max="16384" width="8.88671875" style="95"/>
  </cols>
  <sheetData>
    <row r="1" spans="1:36" x14ac:dyDescent="0.3">
      <c r="A1" s="94" t="s">
        <v>53</v>
      </c>
      <c r="B1" s="94" t="s">
        <v>54</v>
      </c>
      <c r="C1" s="94" t="s">
        <v>55</v>
      </c>
      <c r="D1" s="94" t="s">
        <v>23</v>
      </c>
      <c r="E1" s="94" t="s">
        <v>56</v>
      </c>
      <c r="F1" s="94" t="s">
        <v>57</v>
      </c>
      <c r="G1" s="94" t="s">
        <v>16</v>
      </c>
      <c r="H1" s="94" t="s">
        <v>58</v>
      </c>
      <c r="I1" s="94" t="s">
        <v>59</v>
      </c>
      <c r="J1" s="94" t="s">
        <v>60</v>
      </c>
      <c r="K1" s="94" t="s">
        <v>61</v>
      </c>
      <c r="L1" s="94" t="s">
        <v>18</v>
      </c>
      <c r="M1" s="94" t="s">
        <v>20</v>
      </c>
      <c r="N1" s="94" t="s">
        <v>21</v>
      </c>
      <c r="O1" s="94" t="s">
        <v>19</v>
      </c>
      <c r="P1" s="94" t="s">
        <v>22</v>
      </c>
      <c r="Q1" s="94" t="s">
        <v>62</v>
      </c>
      <c r="R1" s="94" t="s">
        <v>63</v>
      </c>
      <c r="S1" s="94" t="s">
        <v>64</v>
      </c>
      <c r="T1" s="94" t="s">
        <v>65</v>
      </c>
      <c r="U1" s="94" t="s">
        <v>66</v>
      </c>
      <c r="V1" s="94" t="s">
        <v>67</v>
      </c>
      <c r="W1" s="94" t="s">
        <v>68</v>
      </c>
      <c r="X1" s="94" t="s">
        <v>69</v>
      </c>
      <c r="Y1" s="94" t="s">
        <v>70</v>
      </c>
      <c r="Z1" s="94" t="s">
        <v>71</v>
      </c>
      <c r="AA1" s="94" t="s">
        <v>72</v>
      </c>
      <c r="AB1" s="94" t="s">
        <v>73</v>
      </c>
      <c r="AC1" s="94" t="s">
        <v>74</v>
      </c>
      <c r="AD1" s="94" t="s">
        <v>75</v>
      </c>
      <c r="AE1" s="94" t="s">
        <v>76</v>
      </c>
      <c r="AF1" s="94" t="s">
        <v>77</v>
      </c>
      <c r="AG1" s="94" t="s">
        <v>78</v>
      </c>
      <c r="AH1" s="94" t="s">
        <v>79</v>
      </c>
      <c r="AI1" s="94" t="s">
        <v>80</v>
      </c>
      <c r="AJ1" s="94" t="s">
        <v>81</v>
      </c>
    </row>
    <row r="2" spans="1:36" x14ac:dyDescent="0.3">
      <c r="A2" s="96" t="s">
        <v>82</v>
      </c>
      <c r="B2" s="97">
        <v>45986</v>
      </c>
      <c r="C2" s="98" t="s">
        <v>31</v>
      </c>
      <c r="D2" s="99" t="s">
        <v>83</v>
      </c>
      <c r="E2" s="98" t="s">
        <v>1</v>
      </c>
      <c r="F2" s="98" t="s">
        <v>84</v>
      </c>
      <c r="G2" s="100">
        <v>0.64880000000000004</v>
      </c>
      <c r="H2" s="101">
        <v>168</v>
      </c>
      <c r="I2" s="101">
        <v>109</v>
      </c>
      <c r="J2" s="101">
        <v>0</v>
      </c>
      <c r="K2" s="98" t="s">
        <v>85</v>
      </c>
      <c r="L2" s="102" t="s">
        <v>32</v>
      </c>
      <c r="M2" s="101">
        <v>5</v>
      </c>
      <c r="N2" s="101">
        <v>12</v>
      </c>
      <c r="O2" s="101">
        <v>66</v>
      </c>
      <c r="P2" s="98" t="s">
        <v>33</v>
      </c>
      <c r="Q2" s="94"/>
      <c r="R2" s="94"/>
      <c r="S2" s="94"/>
      <c r="T2" s="94"/>
      <c r="U2" s="94"/>
      <c r="V2" s="94"/>
      <c r="W2" s="94"/>
      <c r="X2" s="94"/>
      <c r="Y2" s="94"/>
      <c r="Z2" s="101" t="s">
        <v>86</v>
      </c>
      <c r="AA2" s="94"/>
      <c r="AB2" s="101" t="s">
        <v>87</v>
      </c>
      <c r="AC2" s="101" t="s">
        <v>88</v>
      </c>
      <c r="AD2" s="101" t="s">
        <v>89</v>
      </c>
      <c r="AE2" s="101" t="s">
        <v>90</v>
      </c>
      <c r="AF2" s="101" t="s">
        <v>91</v>
      </c>
      <c r="AG2" s="94"/>
      <c r="AH2" s="94"/>
      <c r="AI2" s="94"/>
      <c r="AJ2" s="94"/>
    </row>
    <row r="3" spans="1:36" x14ac:dyDescent="0.3">
      <c r="A3" s="96" t="s">
        <v>92</v>
      </c>
      <c r="B3" s="97">
        <v>45988</v>
      </c>
      <c r="C3" s="98" t="s">
        <v>31</v>
      </c>
      <c r="D3" s="99" t="s">
        <v>93</v>
      </c>
      <c r="E3" s="98" t="s">
        <v>1</v>
      </c>
      <c r="F3" s="98" t="s">
        <v>84</v>
      </c>
      <c r="G3" s="100">
        <v>0.35120000000000001</v>
      </c>
      <c r="H3" s="101">
        <v>168</v>
      </c>
      <c r="I3" s="101">
        <v>59</v>
      </c>
      <c r="J3" s="101">
        <v>0</v>
      </c>
      <c r="K3" s="98" t="s">
        <v>85</v>
      </c>
      <c r="L3" s="102" t="s">
        <v>32</v>
      </c>
      <c r="M3" s="101">
        <v>1</v>
      </c>
      <c r="N3" s="101">
        <v>10</v>
      </c>
      <c r="O3" s="101">
        <v>47</v>
      </c>
      <c r="P3" s="98" t="s">
        <v>37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101" t="s">
        <v>94</v>
      </c>
      <c r="AD3" s="94"/>
      <c r="AE3" s="101" t="s">
        <v>95</v>
      </c>
      <c r="AF3" s="101" t="s">
        <v>96</v>
      </c>
      <c r="AG3" s="94"/>
      <c r="AH3" s="94"/>
      <c r="AI3" s="94"/>
      <c r="AJ3" s="94"/>
    </row>
    <row r="4" spans="1:36" x14ac:dyDescent="0.3">
      <c r="A4" s="96" t="s">
        <v>97</v>
      </c>
      <c r="B4" s="97">
        <v>45990</v>
      </c>
      <c r="C4" s="98" t="s">
        <v>31</v>
      </c>
      <c r="D4" s="99" t="s">
        <v>98</v>
      </c>
      <c r="E4" s="98" t="s">
        <v>1</v>
      </c>
      <c r="F4" s="98" t="s">
        <v>84</v>
      </c>
      <c r="G4" s="100">
        <v>0.22620000000000001</v>
      </c>
      <c r="H4" s="101">
        <v>168</v>
      </c>
      <c r="I4" s="101">
        <v>38</v>
      </c>
      <c r="J4" s="101">
        <v>0</v>
      </c>
      <c r="K4" s="98" t="s">
        <v>85</v>
      </c>
      <c r="L4" s="102" t="s">
        <v>32</v>
      </c>
      <c r="M4" s="101">
        <v>4</v>
      </c>
      <c r="N4" s="101">
        <v>1</v>
      </c>
      <c r="O4" s="101">
        <v>25</v>
      </c>
      <c r="P4" s="98" t="s">
        <v>37</v>
      </c>
      <c r="Q4" s="94"/>
      <c r="R4" s="94"/>
      <c r="S4" s="94"/>
      <c r="T4" s="94"/>
      <c r="U4" s="94"/>
      <c r="V4" s="94"/>
      <c r="W4" s="94"/>
      <c r="X4" s="94"/>
      <c r="Y4" s="94"/>
      <c r="Z4" s="94"/>
      <c r="AA4" s="101" t="s">
        <v>99</v>
      </c>
      <c r="AB4" s="94"/>
      <c r="AC4" s="94"/>
      <c r="AD4" s="94"/>
      <c r="AE4" s="101" t="s">
        <v>100</v>
      </c>
      <c r="AF4" s="101" t="s">
        <v>101</v>
      </c>
      <c r="AG4" s="94"/>
      <c r="AH4" s="94"/>
      <c r="AI4" s="94"/>
      <c r="AJ4" s="94"/>
    </row>
    <row r="5" spans="1:36" x14ac:dyDescent="0.3">
      <c r="A5" s="96" t="s">
        <v>82</v>
      </c>
      <c r="B5" s="97">
        <v>45993</v>
      </c>
      <c r="C5" s="98" t="s">
        <v>31</v>
      </c>
      <c r="D5" s="99" t="s">
        <v>83</v>
      </c>
      <c r="E5" s="98" t="s">
        <v>1</v>
      </c>
      <c r="F5" s="98" t="s">
        <v>84</v>
      </c>
      <c r="G5" s="100">
        <v>0.24399999999999999</v>
      </c>
      <c r="H5" s="101">
        <v>168</v>
      </c>
      <c r="I5" s="101">
        <v>41</v>
      </c>
      <c r="J5" s="101">
        <v>0</v>
      </c>
      <c r="K5" s="98" t="s">
        <v>85</v>
      </c>
      <c r="L5" s="102" t="s">
        <v>32</v>
      </c>
      <c r="M5" s="101">
        <v>1</v>
      </c>
      <c r="N5" s="101">
        <v>5</v>
      </c>
      <c r="O5" s="101">
        <v>18</v>
      </c>
      <c r="P5" s="98" t="s">
        <v>37</v>
      </c>
      <c r="Q5" s="94"/>
      <c r="R5" s="94"/>
      <c r="S5" s="94"/>
      <c r="T5" s="94"/>
      <c r="U5" s="94"/>
      <c r="V5" s="94"/>
      <c r="W5" s="94"/>
      <c r="X5" s="94"/>
      <c r="Y5" s="94"/>
      <c r="Z5" s="101" t="s">
        <v>102</v>
      </c>
      <c r="AA5" s="94"/>
      <c r="AB5" s="94"/>
      <c r="AC5" s="94"/>
      <c r="AD5" s="94"/>
      <c r="AE5" s="101" t="s">
        <v>103</v>
      </c>
      <c r="AF5" s="101" t="s">
        <v>101</v>
      </c>
      <c r="AG5" s="94"/>
      <c r="AH5" s="94"/>
      <c r="AI5" s="94"/>
      <c r="AJ5" s="94"/>
    </row>
    <row r="6" spans="1:36" x14ac:dyDescent="0.3">
      <c r="A6" s="96" t="s">
        <v>92</v>
      </c>
      <c r="B6" s="97">
        <v>45995</v>
      </c>
      <c r="C6" s="98" t="s">
        <v>31</v>
      </c>
      <c r="D6" s="99" t="s">
        <v>93</v>
      </c>
      <c r="E6" s="98" t="s">
        <v>1</v>
      </c>
      <c r="F6" s="98" t="s">
        <v>84</v>
      </c>
      <c r="G6" s="100">
        <v>0.16669999999999999</v>
      </c>
      <c r="H6" s="101">
        <v>168</v>
      </c>
      <c r="I6" s="101">
        <v>28</v>
      </c>
      <c r="J6" s="101">
        <v>0</v>
      </c>
      <c r="K6" s="98" t="s">
        <v>85</v>
      </c>
      <c r="L6" s="102" t="s">
        <v>32</v>
      </c>
      <c r="M6" s="101">
        <v>3</v>
      </c>
      <c r="N6" s="101">
        <v>0</v>
      </c>
      <c r="O6" s="101">
        <v>8</v>
      </c>
      <c r="P6" s="98" t="s">
        <v>37</v>
      </c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101" t="s">
        <v>104</v>
      </c>
      <c r="AF6" s="101" t="s">
        <v>105</v>
      </c>
      <c r="AG6" s="94"/>
      <c r="AH6" s="94"/>
      <c r="AI6" s="94"/>
      <c r="AJ6" s="94"/>
    </row>
    <row r="7" spans="1:36" x14ac:dyDescent="0.3">
      <c r="A7" s="96" t="s">
        <v>97</v>
      </c>
      <c r="B7" s="97">
        <v>45997</v>
      </c>
      <c r="C7" s="98" t="s">
        <v>31</v>
      </c>
      <c r="D7" s="99" t="s">
        <v>98</v>
      </c>
      <c r="E7" s="98" t="s">
        <v>1</v>
      </c>
      <c r="F7" s="98" t="s">
        <v>84</v>
      </c>
      <c r="G7" s="100">
        <v>5.3600000000000002E-2</v>
      </c>
      <c r="H7" s="101">
        <v>168</v>
      </c>
      <c r="I7" s="101">
        <v>9</v>
      </c>
      <c r="J7" s="101">
        <v>0</v>
      </c>
      <c r="K7" s="98" t="s">
        <v>85</v>
      </c>
      <c r="L7" s="102" t="s">
        <v>49</v>
      </c>
      <c r="M7" s="101">
        <v>0</v>
      </c>
      <c r="N7" s="101">
        <v>0</v>
      </c>
      <c r="O7" s="101">
        <v>4</v>
      </c>
      <c r="P7" s="98" t="s">
        <v>37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101" t="s">
        <v>106</v>
      </c>
      <c r="AF7" s="101" t="s">
        <v>107</v>
      </c>
      <c r="AG7" s="94"/>
      <c r="AH7" s="94"/>
      <c r="AI7" s="94"/>
      <c r="AJ7" s="94"/>
    </row>
    <row r="8" spans="1:36" x14ac:dyDescent="0.3">
      <c r="A8" s="96" t="s">
        <v>82</v>
      </c>
      <c r="B8" s="97">
        <v>46000</v>
      </c>
      <c r="C8" s="98" t="s">
        <v>31</v>
      </c>
      <c r="D8" s="99" t="s">
        <v>83</v>
      </c>
      <c r="E8" s="98" t="s">
        <v>1</v>
      </c>
      <c r="F8" s="98" t="s">
        <v>84</v>
      </c>
      <c r="G8" s="100">
        <v>7.1400000000000005E-2</v>
      </c>
      <c r="H8" s="101">
        <v>168</v>
      </c>
      <c r="I8" s="101">
        <v>12</v>
      </c>
      <c r="J8" s="101">
        <v>0</v>
      </c>
      <c r="K8" s="98" t="s">
        <v>85</v>
      </c>
      <c r="L8" s="102" t="s">
        <v>49</v>
      </c>
      <c r="M8" s="101">
        <v>0</v>
      </c>
      <c r="N8" s="101">
        <v>0</v>
      </c>
      <c r="O8" s="101">
        <v>4</v>
      </c>
      <c r="P8" s="98" t="s">
        <v>37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101" t="s">
        <v>108</v>
      </c>
      <c r="AE8" s="101" t="s">
        <v>104</v>
      </c>
      <c r="AF8" s="94"/>
      <c r="AG8" s="94"/>
      <c r="AH8" s="94"/>
      <c r="AI8" s="94"/>
      <c r="AJ8" s="94"/>
    </row>
    <row r="9" spans="1:36" ht="21" x14ac:dyDescent="0.3">
      <c r="A9" s="103" t="s">
        <v>136</v>
      </c>
      <c r="B9" s="104"/>
      <c r="C9" s="103">
        <f>SUBTOTAL(103,AJF_CAI_LF_LEGACY[Flt])</f>
        <v>7</v>
      </c>
      <c r="D9" s="103"/>
      <c r="E9" s="103">
        <f>SUBTOTAL(103,AJF_CAI_LF_LEGACY[Brd-Off])</f>
        <v>7</v>
      </c>
      <c r="F9" s="103"/>
      <c r="G9" s="105">
        <f>SUBTOTAL(101,AJF_CAI_LF_LEGACY[LF%])</f>
        <v>0.25169999999999998</v>
      </c>
      <c r="H9" s="106">
        <f>SUBTOTAL(109,AJF_CAI_LF_LEGACY[CAP])</f>
        <v>1176</v>
      </c>
      <c r="I9" s="106">
        <f>SUBTOTAL(109,AJF_CAI_LF_LEGACY[BKG(Y)])</f>
        <v>296</v>
      </c>
      <c r="J9" s="106">
        <f>SUBTOTAL(109,AJF_CAI_LF_LEGACY[GRP(Y)])</f>
        <v>0</v>
      </c>
      <c r="K9" s="103"/>
      <c r="L9" s="104"/>
      <c r="M9" s="106">
        <f>SUBTOTAL(109,AJF_CAI_LF_LEGACY[TO-DAY])</f>
        <v>14</v>
      </c>
      <c r="N9" s="106">
        <f>SUBTOTAL(109,AJF_CAI_LF_LEGACY[Y-DAY])</f>
        <v>28</v>
      </c>
      <c r="O9" s="106">
        <f>SUBTOTAL(109,AJF_CAI_LF_LEGACY[WEEKLY])</f>
        <v>172</v>
      </c>
      <c r="P9" s="107"/>
      <c r="Q9" s="106">
        <f>SUBTOTAL(109,AJF_CAI_LF_LEGACY[Y])</f>
        <v>0</v>
      </c>
      <c r="R9" s="106">
        <f>SUBTOTAL(109,AJF_CAI_LF_LEGACY[B])</f>
        <v>0</v>
      </c>
      <c r="S9" s="106">
        <f>SUBTOTAL(109,AJF_CAI_LF_LEGACY[M])</f>
        <v>0</v>
      </c>
      <c r="T9" s="106">
        <f>SUBTOTAL(109,AJF_CAI_LF_LEGACY[H])</f>
        <v>0</v>
      </c>
      <c r="U9" s="106">
        <f>SUBTOTAL(109,AJF_CAI_LF_LEGACY[Q])</f>
        <v>0</v>
      </c>
      <c r="V9" s="106">
        <f>SUBTOTAL(109,AJF_CAI_LF_LEGACY[K])</f>
        <v>0</v>
      </c>
      <c r="W9" s="106">
        <f>SUBTOTAL(109,AJF_CAI_LF_LEGACY[V])</f>
        <v>0</v>
      </c>
      <c r="X9" s="106">
        <f>SUBTOTAL(109,AJF_CAI_LF_LEGACY[L])</f>
        <v>0</v>
      </c>
      <c r="Y9" s="106">
        <f>SUBTOTAL(109,AJF_CAI_LF_LEGACY[G])</f>
        <v>0</v>
      </c>
      <c r="Z9" s="106">
        <f>SUBTOTAL(109,AJF_CAI_LF_LEGACY[S])</f>
        <v>0</v>
      </c>
      <c r="AA9" s="106">
        <f>SUBTOTAL(109,AJF_CAI_LF_LEGACY[W])</f>
        <v>0</v>
      </c>
      <c r="AB9" s="106">
        <f>SUBTOTAL(109,AJF_CAI_LF_LEGACY[T])</f>
        <v>0</v>
      </c>
      <c r="AC9" s="106">
        <f>SUBTOTAL(109,AJF_CAI_LF_LEGACY[X])</f>
        <v>0</v>
      </c>
      <c r="AD9" s="106">
        <f>SUBTOTAL(109,AJF_CAI_LF_LEGACY[U])</f>
        <v>0</v>
      </c>
      <c r="AE9" s="106">
        <f>SUBTOTAL(109,AJF_CAI_LF_LEGACY[O])</f>
        <v>0</v>
      </c>
      <c r="AF9" s="106">
        <f>SUBTOTAL(109,AJF_CAI_LF_LEGACY[I])</f>
        <v>0</v>
      </c>
      <c r="AG9" s="106">
        <f>SUBTOTAL(109,AJF_CAI_LF_LEGACY[E])</f>
        <v>0</v>
      </c>
      <c r="AH9" s="106">
        <f>SUBTOTAL(109,AJF_CAI_LF_LEGACY[A])</f>
        <v>0</v>
      </c>
      <c r="AI9" s="106">
        <f>SUBTOTAL(109,AJF_CAI_LF_LEGACY[P])</f>
        <v>0</v>
      </c>
      <c r="AJ9" s="106">
        <f>SUBTOTAL(103,AJF_CAI_LF_LEGACY[N])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  <col min="9" max="9" width="178.109375" hidden="1" customWidth="1"/>
  </cols>
  <sheetData>
    <row r="1" spans="1:8" ht="18" x14ac:dyDescent="0.3">
      <c r="A1" s="48" t="s">
        <v>109</v>
      </c>
      <c r="B1" s="49" t="s">
        <v>8</v>
      </c>
      <c r="C1" s="49" t="s">
        <v>9</v>
      </c>
      <c r="D1" s="49" t="s">
        <v>110</v>
      </c>
      <c r="E1" s="49" t="s">
        <v>10</v>
      </c>
      <c r="F1" s="49" t="s">
        <v>11</v>
      </c>
      <c r="G1" s="49" t="s">
        <v>12</v>
      </c>
      <c r="H1" s="50" t="s">
        <v>13</v>
      </c>
    </row>
    <row r="2" spans="1:8" ht="19.8" customHeight="1" x14ac:dyDescent="0.3">
      <c r="A2" s="51" t="s">
        <v>111</v>
      </c>
      <c r="B2" s="52" t="s">
        <v>26</v>
      </c>
      <c r="C2" s="53" t="s">
        <v>27</v>
      </c>
      <c r="D2" s="52" t="s">
        <v>1</v>
      </c>
      <c r="E2" s="52" t="s">
        <v>83</v>
      </c>
      <c r="F2" s="52" t="s">
        <v>28</v>
      </c>
      <c r="G2" s="54">
        <v>4</v>
      </c>
      <c r="H2" s="55">
        <v>538</v>
      </c>
    </row>
    <row r="3" spans="1:8" ht="19.8" customHeight="1" x14ac:dyDescent="0.3">
      <c r="A3" s="56">
        <v>45988</v>
      </c>
      <c r="B3" s="57" t="s">
        <v>26</v>
      </c>
      <c r="C3" s="58" t="s">
        <v>27</v>
      </c>
      <c r="D3" s="57" t="s">
        <v>1</v>
      </c>
      <c r="E3" s="59">
        <v>1.913194444444444</v>
      </c>
      <c r="F3" s="57" t="s">
        <v>28</v>
      </c>
      <c r="G3" s="60">
        <v>9</v>
      </c>
      <c r="H3" s="61">
        <v>420</v>
      </c>
    </row>
    <row r="4" spans="1:8" ht="19.8" customHeight="1" x14ac:dyDescent="0.3">
      <c r="A4" s="62">
        <v>45988</v>
      </c>
      <c r="B4" s="63" t="s">
        <v>39</v>
      </c>
      <c r="C4" s="64" t="s">
        <v>40</v>
      </c>
      <c r="D4" s="63" t="s">
        <v>1</v>
      </c>
      <c r="E4" s="65">
        <v>1.90625</v>
      </c>
      <c r="F4" s="63" t="s">
        <v>28</v>
      </c>
      <c r="G4" s="66">
        <v>9</v>
      </c>
      <c r="H4" s="67">
        <v>421</v>
      </c>
    </row>
    <row r="5" spans="1:8" ht="19.8" customHeight="1" x14ac:dyDescent="0.3">
      <c r="A5" s="62">
        <v>45989</v>
      </c>
      <c r="B5" s="63" t="s">
        <v>39</v>
      </c>
      <c r="C5" s="64" t="s">
        <v>42</v>
      </c>
      <c r="D5" s="63" t="s">
        <v>1</v>
      </c>
      <c r="E5" s="65">
        <v>1.458333333333333</v>
      </c>
      <c r="F5" s="63" t="s">
        <v>28</v>
      </c>
      <c r="G5" s="66">
        <v>9</v>
      </c>
      <c r="H5" s="67">
        <v>421</v>
      </c>
    </row>
    <row r="6" spans="1:8" ht="19.8" customHeight="1" x14ac:dyDescent="0.3">
      <c r="A6" s="68">
        <v>45990</v>
      </c>
      <c r="B6" s="52" t="s">
        <v>26</v>
      </c>
      <c r="C6" s="53" t="s">
        <v>27</v>
      </c>
      <c r="D6" s="52" t="s">
        <v>1</v>
      </c>
      <c r="E6" s="69">
        <v>1.864583333333333</v>
      </c>
      <c r="F6" s="52" t="s">
        <v>28</v>
      </c>
      <c r="G6" s="54">
        <v>9</v>
      </c>
      <c r="H6" s="55">
        <v>420</v>
      </c>
    </row>
    <row r="7" spans="1:8" ht="19.8" customHeight="1" x14ac:dyDescent="0.3">
      <c r="A7" s="62">
        <v>45991</v>
      </c>
      <c r="B7" s="63" t="s">
        <v>39</v>
      </c>
      <c r="C7" s="64" t="s">
        <v>42</v>
      </c>
      <c r="D7" s="63" t="s">
        <v>1</v>
      </c>
      <c r="E7" s="65">
        <v>1.458333333333333</v>
      </c>
      <c r="F7" s="63" t="s">
        <v>28</v>
      </c>
      <c r="G7" s="66">
        <v>8</v>
      </c>
      <c r="H7" s="67">
        <v>421</v>
      </c>
    </row>
    <row r="8" spans="1:8" ht="19.8" customHeight="1" x14ac:dyDescent="0.3">
      <c r="A8" s="68">
        <v>45993</v>
      </c>
      <c r="B8" s="52" t="s">
        <v>26</v>
      </c>
      <c r="C8" s="53" t="s">
        <v>27</v>
      </c>
      <c r="D8" s="52" t="s">
        <v>1</v>
      </c>
      <c r="E8" s="69">
        <v>1.458333333333333</v>
      </c>
      <c r="F8" s="52" t="s">
        <v>28</v>
      </c>
      <c r="G8" s="54">
        <v>9</v>
      </c>
      <c r="H8" s="55">
        <v>401</v>
      </c>
    </row>
    <row r="9" spans="1:8" ht="19.8" customHeight="1" x14ac:dyDescent="0.3">
      <c r="A9" s="56">
        <v>45995</v>
      </c>
      <c r="B9" s="57" t="s">
        <v>26</v>
      </c>
      <c r="C9" s="58" t="s">
        <v>27</v>
      </c>
      <c r="D9" s="57" t="s">
        <v>1</v>
      </c>
      <c r="E9" s="59">
        <v>1.913194444444444</v>
      </c>
      <c r="F9" s="57" t="s">
        <v>28</v>
      </c>
      <c r="G9" s="60">
        <v>9</v>
      </c>
      <c r="H9" s="61">
        <v>420</v>
      </c>
    </row>
    <row r="10" spans="1:8" ht="19.8" customHeight="1" x14ac:dyDescent="0.3">
      <c r="A10" s="62">
        <v>45995</v>
      </c>
      <c r="B10" s="63" t="s">
        <v>39</v>
      </c>
      <c r="C10" s="64" t="s">
        <v>40</v>
      </c>
      <c r="D10" s="63" t="s">
        <v>1</v>
      </c>
      <c r="E10" s="65">
        <v>1.850694444444444</v>
      </c>
      <c r="F10" s="63" t="s">
        <v>28</v>
      </c>
      <c r="G10" s="66">
        <v>9</v>
      </c>
      <c r="H10" s="67">
        <v>520</v>
      </c>
    </row>
    <row r="11" spans="1:8" ht="19.8" customHeight="1" x14ac:dyDescent="0.3">
      <c r="A11" s="62">
        <v>45996</v>
      </c>
      <c r="B11" s="63" t="s">
        <v>39</v>
      </c>
      <c r="C11" s="64" t="s">
        <v>42</v>
      </c>
      <c r="D11" s="63" t="s">
        <v>1</v>
      </c>
      <c r="E11" s="65">
        <v>1.458333333333333</v>
      </c>
      <c r="F11" s="63" t="s">
        <v>28</v>
      </c>
      <c r="G11" s="66">
        <v>9</v>
      </c>
      <c r="H11" s="67">
        <v>421</v>
      </c>
    </row>
    <row r="12" spans="1:8" ht="19.8" customHeight="1" x14ac:dyDescent="0.3">
      <c r="A12" s="68">
        <v>45997</v>
      </c>
      <c r="B12" s="52" t="s">
        <v>26</v>
      </c>
      <c r="C12" s="53" t="s">
        <v>27</v>
      </c>
      <c r="D12" s="52" t="s">
        <v>1</v>
      </c>
      <c r="E12" s="69">
        <v>1.864583333333333</v>
      </c>
      <c r="F12" s="52" t="s">
        <v>28</v>
      </c>
      <c r="G12" s="54">
        <v>9</v>
      </c>
      <c r="H12" s="55">
        <v>420</v>
      </c>
    </row>
    <row r="13" spans="1:8" ht="19.8" customHeight="1" x14ac:dyDescent="0.3">
      <c r="A13" s="62">
        <v>45998</v>
      </c>
      <c r="B13" s="63" t="s">
        <v>39</v>
      </c>
      <c r="C13" s="64" t="s">
        <v>42</v>
      </c>
      <c r="D13" s="63" t="s">
        <v>1</v>
      </c>
      <c r="E13" s="65">
        <v>1.458333333333333</v>
      </c>
      <c r="F13" s="63" t="s">
        <v>28</v>
      </c>
      <c r="G13" s="66">
        <v>5</v>
      </c>
      <c r="H13" s="67">
        <v>421</v>
      </c>
    </row>
    <row r="14" spans="1:8" ht="19.8" customHeight="1" x14ac:dyDescent="0.3">
      <c r="A14" s="68">
        <v>46000</v>
      </c>
      <c r="B14" s="52" t="s">
        <v>26</v>
      </c>
      <c r="C14" s="53" t="s">
        <v>27</v>
      </c>
      <c r="D14" s="52" t="s">
        <v>1</v>
      </c>
      <c r="E14" s="69">
        <v>1.458333333333333</v>
      </c>
      <c r="F14" s="52" t="s">
        <v>28</v>
      </c>
      <c r="G14" s="54">
        <v>9</v>
      </c>
      <c r="H14" s="55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2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0.21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17.88671875" bestFit="1" customWidth="1"/>
  </cols>
  <sheetData>
    <row r="1" spans="1:18" ht="25.05" customHeight="1" x14ac:dyDescent="0.3">
      <c r="A1" s="84" t="s">
        <v>0</v>
      </c>
      <c r="B1" s="82"/>
      <c r="C1" s="82"/>
      <c r="D1" s="82"/>
      <c r="E1" s="82"/>
      <c r="F1" s="1" t="s">
        <v>112</v>
      </c>
      <c r="G1" s="2" t="s">
        <v>2</v>
      </c>
      <c r="H1" s="83">
        <v>45986</v>
      </c>
      <c r="I1" s="82"/>
      <c r="J1" s="82"/>
      <c r="K1" s="82"/>
      <c r="L1" s="82"/>
      <c r="M1" s="1" t="s">
        <v>3</v>
      </c>
      <c r="N1" s="88">
        <v>46001</v>
      </c>
      <c r="O1" s="82"/>
      <c r="P1" s="82"/>
      <c r="Q1" s="82"/>
      <c r="R1" s="82"/>
    </row>
    <row r="2" spans="1:18" ht="18" customHeight="1" x14ac:dyDescent="0.3">
      <c r="A2" s="85" t="s">
        <v>4</v>
      </c>
      <c r="B2" s="82"/>
      <c r="C2" s="82"/>
      <c r="D2" s="82"/>
      <c r="E2" s="82"/>
      <c r="F2" s="82"/>
      <c r="G2" s="87">
        <v>45982.825495086749</v>
      </c>
      <c r="H2" s="82"/>
      <c r="I2" s="82"/>
      <c r="J2" s="82"/>
      <c r="K2" s="89">
        <v>45982.825495090627</v>
      </c>
      <c r="L2" s="82"/>
      <c r="M2" s="82"/>
      <c r="N2" s="82"/>
      <c r="O2" s="82"/>
      <c r="P2" s="82"/>
      <c r="Q2" s="82"/>
      <c r="R2" s="82"/>
    </row>
    <row r="3" spans="1:18" ht="24" customHeight="1" x14ac:dyDescent="0.3">
      <c r="A3" s="86" t="s">
        <v>5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1:18" ht="17.399999999999999" customHeight="1" x14ac:dyDescent="0.3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3"/>
    </row>
    <row r="5" spans="1:18" ht="17.399999999999999" customHeight="1" x14ac:dyDescent="0.3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3"/>
    </row>
    <row r="6" spans="1:18" ht="17.399999999999999" customHeight="1" x14ac:dyDescent="0.3">
      <c r="A6" s="108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/>
    </row>
    <row r="7" spans="1:18" ht="22.05" customHeight="1" x14ac:dyDescent="0.3">
      <c r="A7" s="79" t="s">
        <v>6</v>
      </c>
      <c r="B7" s="80"/>
      <c r="C7" s="80"/>
      <c r="D7" s="80"/>
      <c r="E7" s="80"/>
      <c r="F7" s="81"/>
      <c r="G7" s="3">
        <v>45989</v>
      </c>
      <c r="H7" s="79" t="s">
        <v>7</v>
      </c>
      <c r="I7" s="80"/>
      <c r="J7" s="80"/>
      <c r="K7" s="80"/>
      <c r="L7" s="80"/>
      <c r="M7" s="80"/>
      <c r="N7" s="80"/>
      <c r="O7" s="80"/>
      <c r="P7" s="80"/>
      <c r="Q7" s="80"/>
      <c r="R7" s="81"/>
    </row>
    <row r="8" spans="1:18" ht="24" customHeight="1" x14ac:dyDescent="0.3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5" t="s">
        <v>13</v>
      </c>
      <c r="G8" s="6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19</v>
      </c>
      <c r="M8" s="4" t="s">
        <v>20</v>
      </c>
      <c r="N8" s="4" t="s">
        <v>21</v>
      </c>
      <c r="O8" s="4" t="s">
        <v>22</v>
      </c>
      <c r="P8" s="4" t="s">
        <v>23</v>
      </c>
      <c r="Q8" s="4" t="s">
        <v>24</v>
      </c>
      <c r="R8" s="4" t="s">
        <v>25</v>
      </c>
    </row>
    <row r="9" spans="1:18" ht="49.95" customHeight="1" x14ac:dyDescent="0.3">
      <c r="A9" s="41" t="s">
        <v>26</v>
      </c>
      <c r="B9" s="41" t="s">
        <v>113</v>
      </c>
      <c r="C9" s="41">
        <v>0.63541666666666663</v>
      </c>
      <c r="D9" s="41" t="s">
        <v>28</v>
      </c>
      <c r="E9" s="41" t="s">
        <v>35</v>
      </c>
      <c r="F9" s="41" t="s">
        <v>114</v>
      </c>
      <c r="G9" s="82"/>
      <c r="H9" s="42" t="s">
        <v>115</v>
      </c>
      <c r="I9" s="43">
        <v>0.42859999999999998</v>
      </c>
      <c r="J9" s="44">
        <v>72</v>
      </c>
      <c r="K9" s="45" t="s">
        <v>32</v>
      </c>
      <c r="L9" s="44">
        <v>49</v>
      </c>
      <c r="M9" s="44">
        <v>2</v>
      </c>
      <c r="N9" s="44">
        <v>11</v>
      </c>
      <c r="O9" s="45" t="s">
        <v>116</v>
      </c>
      <c r="P9" s="45">
        <v>0.63541666666666663</v>
      </c>
      <c r="Q9" s="44">
        <v>168</v>
      </c>
      <c r="R9" s="46" t="s">
        <v>117</v>
      </c>
    </row>
    <row r="10" spans="1:18" ht="17.399999999999999" customHeight="1" x14ac:dyDescent="0.3">
      <c r="A10" s="108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10"/>
    </row>
    <row r="11" spans="1:18" ht="22.05" customHeight="1" x14ac:dyDescent="0.3">
      <c r="A11" s="79" t="s">
        <v>6</v>
      </c>
      <c r="B11" s="80"/>
      <c r="C11" s="80"/>
      <c r="D11" s="80"/>
      <c r="E11" s="80"/>
      <c r="F11" s="81"/>
      <c r="G11" s="3">
        <v>45990</v>
      </c>
      <c r="H11" s="79" t="s">
        <v>7</v>
      </c>
      <c r="I11" s="80"/>
      <c r="J11" s="80"/>
      <c r="K11" s="80"/>
      <c r="L11" s="80"/>
      <c r="M11" s="80"/>
      <c r="N11" s="80"/>
      <c r="O11" s="80"/>
      <c r="P11" s="80"/>
      <c r="Q11" s="80"/>
      <c r="R11" s="81"/>
    </row>
    <row r="12" spans="1:18" ht="24" customHeight="1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  <c r="F12" s="5" t="s">
        <v>13</v>
      </c>
      <c r="G12" s="6" t="s">
        <v>14</v>
      </c>
      <c r="H12" s="4" t="s">
        <v>15</v>
      </c>
      <c r="I12" s="4" t="s">
        <v>16</v>
      </c>
      <c r="J12" s="4" t="s">
        <v>17</v>
      </c>
      <c r="K12" s="4" t="s">
        <v>18</v>
      </c>
      <c r="L12" s="4" t="s">
        <v>19</v>
      </c>
      <c r="M12" s="4" t="s">
        <v>20</v>
      </c>
      <c r="N12" s="4" t="s">
        <v>21</v>
      </c>
      <c r="O12" s="4" t="s">
        <v>22</v>
      </c>
      <c r="P12" s="4" t="s">
        <v>23</v>
      </c>
      <c r="Q12" s="4" t="s">
        <v>24</v>
      </c>
      <c r="R12" s="4" t="s">
        <v>25</v>
      </c>
    </row>
    <row r="13" spans="1:18" ht="15.6" x14ac:dyDescent="0.3">
      <c r="A13" s="90" t="s">
        <v>118</v>
      </c>
      <c r="B13" s="91"/>
      <c r="C13" s="91"/>
      <c r="D13" s="91"/>
      <c r="E13" s="91"/>
      <c r="F13" s="92"/>
      <c r="G13" s="93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</row>
    <row r="14" spans="1:18" ht="49.95" customHeight="1" x14ac:dyDescent="0.3">
      <c r="A14" s="70" t="s">
        <v>26</v>
      </c>
      <c r="B14" s="70" t="s">
        <v>119</v>
      </c>
      <c r="C14" s="70" t="s">
        <v>120</v>
      </c>
      <c r="D14" s="70" t="s">
        <v>121</v>
      </c>
      <c r="E14" s="70" t="s">
        <v>122</v>
      </c>
      <c r="F14" s="70" t="s">
        <v>123</v>
      </c>
      <c r="G14" s="93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</row>
    <row r="15" spans="1:18" ht="17.399999999999999" customHeight="1" x14ac:dyDescent="0.3">
      <c r="A15" s="108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10"/>
    </row>
    <row r="16" spans="1:18" ht="17.399999999999999" customHeight="1" x14ac:dyDescent="0.3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10"/>
    </row>
    <row r="17" spans="1:18" ht="17.399999999999999" customHeight="1" x14ac:dyDescent="0.3">
      <c r="A17" s="108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10"/>
    </row>
    <row r="18" spans="1:18" ht="17.399999999999999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10"/>
    </row>
    <row r="19" spans="1:18" ht="17.399999999999999" customHeight="1" x14ac:dyDescent="0.3">
      <c r="A19" s="108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10"/>
    </row>
    <row r="20" spans="1:18" ht="17.399999999999999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10"/>
    </row>
    <row r="21" spans="1:18" ht="22.05" customHeight="1" x14ac:dyDescent="0.3">
      <c r="A21" s="79" t="s">
        <v>6</v>
      </c>
      <c r="B21" s="80"/>
      <c r="C21" s="80"/>
      <c r="D21" s="80"/>
      <c r="E21" s="80"/>
      <c r="F21" s="81"/>
      <c r="G21" s="3">
        <v>45996</v>
      </c>
      <c r="H21" s="79" t="s">
        <v>7</v>
      </c>
      <c r="I21" s="80"/>
      <c r="J21" s="80"/>
      <c r="K21" s="80"/>
      <c r="L21" s="80"/>
      <c r="M21" s="80"/>
      <c r="N21" s="80"/>
      <c r="O21" s="80"/>
      <c r="P21" s="80"/>
      <c r="Q21" s="80"/>
      <c r="R21" s="81"/>
    </row>
    <row r="22" spans="1:18" ht="24" customHeight="1" x14ac:dyDescent="0.3">
      <c r="A22" s="4" t="s">
        <v>8</v>
      </c>
      <c r="B22" s="4" t="s">
        <v>9</v>
      </c>
      <c r="C22" s="4" t="s">
        <v>10</v>
      </c>
      <c r="D22" s="4" t="s">
        <v>11</v>
      </c>
      <c r="E22" s="4" t="s">
        <v>12</v>
      </c>
      <c r="F22" s="5" t="s">
        <v>13</v>
      </c>
      <c r="G22" s="6" t="s">
        <v>14</v>
      </c>
      <c r="H22" s="4" t="s">
        <v>15</v>
      </c>
      <c r="I22" s="4" t="s">
        <v>16</v>
      </c>
      <c r="J22" s="4" t="s">
        <v>17</v>
      </c>
      <c r="K22" s="4" t="s">
        <v>18</v>
      </c>
      <c r="L22" s="4" t="s">
        <v>19</v>
      </c>
      <c r="M22" s="4" t="s">
        <v>20</v>
      </c>
      <c r="N22" s="4" t="s">
        <v>21</v>
      </c>
      <c r="O22" s="4" t="s">
        <v>22</v>
      </c>
      <c r="P22" s="4" t="s">
        <v>23</v>
      </c>
      <c r="Q22" s="4" t="s">
        <v>24</v>
      </c>
      <c r="R22" s="4" t="s">
        <v>25</v>
      </c>
    </row>
    <row r="23" spans="1:18" ht="49.95" customHeight="1" x14ac:dyDescent="0.3">
      <c r="A23" s="7" t="s">
        <v>26</v>
      </c>
      <c r="B23" s="7" t="s">
        <v>115</v>
      </c>
      <c r="C23" s="7">
        <v>0.63541666666666663</v>
      </c>
      <c r="D23" s="7" t="s">
        <v>124</v>
      </c>
      <c r="E23" s="7"/>
      <c r="F23" s="7" t="s">
        <v>125</v>
      </c>
      <c r="G23" s="82"/>
      <c r="H23" s="8" t="s">
        <v>115</v>
      </c>
      <c r="I23" s="72">
        <v>0.19639999999999999</v>
      </c>
      <c r="J23" s="10">
        <v>33</v>
      </c>
      <c r="K23" s="11" t="s">
        <v>32</v>
      </c>
      <c r="L23" s="10">
        <v>20</v>
      </c>
      <c r="M23" s="10">
        <v>1</v>
      </c>
      <c r="N23" s="10">
        <v>6</v>
      </c>
      <c r="O23" s="11" t="s">
        <v>37</v>
      </c>
      <c r="P23" s="11">
        <v>0.63541666666666663</v>
      </c>
      <c r="Q23" s="10">
        <v>168</v>
      </c>
      <c r="R23" s="12" t="s">
        <v>126</v>
      </c>
    </row>
    <row r="24" spans="1:18" ht="17.399999999999999" customHeight="1" x14ac:dyDescent="0.3">
      <c r="A24" s="108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10"/>
    </row>
    <row r="25" spans="1:18" ht="22.05" customHeight="1" x14ac:dyDescent="0.3">
      <c r="A25" s="79" t="s">
        <v>6</v>
      </c>
      <c r="B25" s="80"/>
      <c r="C25" s="80"/>
      <c r="D25" s="80"/>
      <c r="E25" s="80"/>
      <c r="F25" s="81"/>
      <c r="G25" s="3">
        <v>45997</v>
      </c>
      <c r="H25" s="79" t="s">
        <v>7</v>
      </c>
      <c r="I25" s="80"/>
      <c r="J25" s="80"/>
      <c r="K25" s="80"/>
      <c r="L25" s="80"/>
      <c r="M25" s="80"/>
      <c r="N25" s="80"/>
      <c r="O25" s="80"/>
      <c r="P25" s="80"/>
      <c r="Q25" s="80"/>
      <c r="R25" s="81"/>
    </row>
    <row r="26" spans="1:18" ht="24" customHeight="1" x14ac:dyDescent="0.3">
      <c r="A26" s="4" t="s">
        <v>8</v>
      </c>
      <c r="B26" s="4" t="s">
        <v>9</v>
      </c>
      <c r="C26" s="4" t="s">
        <v>10</v>
      </c>
      <c r="D26" s="4" t="s">
        <v>11</v>
      </c>
      <c r="E26" s="4" t="s">
        <v>12</v>
      </c>
      <c r="F26" s="5" t="s">
        <v>13</v>
      </c>
      <c r="G26" s="6" t="s">
        <v>14</v>
      </c>
      <c r="H26" s="4" t="s">
        <v>15</v>
      </c>
      <c r="I26" s="4" t="s">
        <v>16</v>
      </c>
      <c r="J26" s="4" t="s">
        <v>17</v>
      </c>
      <c r="K26" s="4" t="s">
        <v>18</v>
      </c>
      <c r="L26" s="4" t="s">
        <v>19</v>
      </c>
      <c r="M26" s="4" t="s">
        <v>20</v>
      </c>
      <c r="N26" s="4" t="s">
        <v>21</v>
      </c>
      <c r="O26" s="4" t="s">
        <v>22</v>
      </c>
      <c r="P26" s="4" t="s">
        <v>23</v>
      </c>
      <c r="Q26" s="4" t="s">
        <v>24</v>
      </c>
      <c r="R26" s="4" t="s">
        <v>25</v>
      </c>
    </row>
    <row r="27" spans="1:18" ht="15.6" x14ac:dyDescent="0.3">
      <c r="A27" s="90" t="s">
        <v>118</v>
      </c>
      <c r="B27" s="91"/>
      <c r="C27" s="91"/>
      <c r="D27" s="91"/>
      <c r="E27" s="91"/>
      <c r="F27" s="92"/>
      <c r="G27" s="93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</row>
    <row r="28" spans="1:18" ht="49.95" customHeight="1" x14ac:dyDescent="0.3">
      <c r="A28" s="70" t="s">
        <v>26</v>
      </c>
      <c r="B28" s="70" t="s">
        <v>119</v>
      </c>
      <c r="C28" s="70" t="s">
        <v>120</v>
      </c>
      <c r="D28" s="70" t="s">
        <v>121</v>
      </c>
      <c r="E28" s="70" t="s">
        <v>127</v>
      </c>
      <c r="F28" s="70" t="s">
        <v>123</v>
      </c>
      <c r="G28" s="93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</row>
    <row r="29" spans="1:18" ht="17.399999999999999" customHeight="1" x14ac:dyDescent="0.3">
      <c r="A29" s="108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10"/>
    </row>
    <row r="30" spans="1:18" ht="17.399999999999999" customHeight="1" x14ac:dyDescent="0.3">
      <c r="A30" s="108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10"/>
    </row>
    <row r="31" spans="1:18" ht="17.399999999999999" customHeight="1" x14ac:dyDescent="0.3">
      <c r="A31" s="108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10"/>
    </row>
    <row r="32" spans="1:18" ht="17.399999999999999" customHeight="1" x14ac:dyDescent="0.3">
      <c r="A32" s="108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10"/>
    </row>
  </sheetData>
  <mergeCells count="36">
    <mergeCell ref="A30:R30"/>
    <mergeCell ref="A15:R15"/>
    <mergeCell ref="G27:G28"/>
    <mergeCell ref="A24:R24"/>
    <mergeCell ref="A6:R6"/>
    <mergeCell ref="A7:F7"/>
    <mergeCell ref="A25:F25"/>
    <mergeCell ref="A32:R32"/>
    <mergeCell ref="G2:J2"/>
    <mergeCell ref="A5:R5"/>
    <mergeCell ref="A17:R17"/>
    <mergeCell ref="N1:R1"/>
    <mergeCell ref="A4:R4"/>
    <mergeCell ref="A20:R20"/>
    <mergeCell ref="G23"/>
    <mergeCell ref="A29:R29"/>
    <mergeCell ref="H11:R11"/>
    <mergeCell ref="A13:F13"/>
    <mergeCell ref="A19:R19"/>
    <mergeCell ref="A10:R10"/>
    <mergeCell ref="H7:R7"/>
    <mergeCell ref="K2:R2"/>
    <mergeCell ref="A31:R31"/>
    <mergeCell ref="A16:R16"/>
    <mergeCell ref="A27:F27"/>
    <mergeCell ref="G13:G14"/>
    <mergeCell ref="H1:L1"/>
    <mergeCell ref="A1:E1"/>
    <mergeCell ref="A21:F21"/>
    <mergeCell ref="A18:R18"/>
    <mergeCell ref="G9"/>
    <mergeCell ref="A2:F2"/>
    <mergeCell ref="A3:R3"/>
    <mergeCell ref="H25:R25"/>
    <mergeCell ref="H21:R21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"/>
  <sheetViews>
    <sheetView workbookViewId="0"/>
  </sheetViews>
  <sheetFormatPr defaultRowHeight="15.6" outlineLevelCol="1" x14ac:dyDescent="0.3"/>
  <cols>
    <col min="1" max="1" width="6.88671875" style="95" bestFit="1" customWidth="1"/>
    <col min="2" max="2" width="10.44140625" style="95" bestFit="1" customWidth="1"/>
    <col min="3" max="3" width="6.77734375" style="95" bestFit="1" customWidth="1"/>
    <col min="4" max="4" width="5.5546875" style="95" bestFit="1" customWidth="1"/>
    <col min="5" max="5" width="7.5546875" style="95" bestFit="1" customWidth="1"/>
    <col min="6" max="6" width="4.21875" style="95" bestFit="1" customWidth="1"/>
    <col min="7" max="7" width="10" style="95" bestFit="1" customWidth="1"/>
    <col min="8" max="10" width="7" style="95" bestFit="1" customWidth="1"/>
    <col min="11" max="11" width="10.5546875" style="95" bestFit="1" customWidth="1"/>
    <col min="12" max="12" width="18.109375" style="95" bestFit="1" customWidth="1"/>
    <col min="13" max="13" width="7.6640625" style="95" bestFit="1" customWidth="1" outlineLevel="1"/>
    <col min="14" max="14" width="6.33203125" style="95" bestFit="1" customWidth="1" outlineLevel="1"/>
    <col min="15" max="15" width="8" style="95" bestFit="1" customWidth="1" outlineLevel="1"/>
    <col min="16" max="16" width="13.6640625" style="95" bestFit="1" customWidth="1"/>
    <col min="17" max="29" width="3.88671875" style="95" bestFit="1" customWidth="1"/>
    <col min="30" max="31" width="4.5546875" style="95" bestFit="1" customWidth="1"/>
    <col min="32" max="36" width="3.88671875" style="95" bestFit="1" customWidth="1"/>
    <col min="37" max="16384" width="8.88671875" style="95"/>
  </cols>
  <sheetData>
    <row r="1" spans="1:36" x14ac:dyDescent="0.3">
      <c r="A1" s="94" t="s">
        <v>53</v>
      </c>
      <c r="B1" s="94" t="s">
        <v>54</v>
      </c>
      <c r="C1" s="94" t="s">
        <v>55</v>
      </c>
      <c r="D1" s="94" t="s">
        <v>23</v>
      </c>
      <c r="E1" s="94" t="s">
        <v>56</v>
      </c>
      <c r="F1" s="94" t="s">
        <v>57</v>
      </c>
      <c r="G1" s="94" t="s">
        <v>16</v>
      </c>
      <c r="H1" s="94" t="s">
        <v>58</v>
      </c>
      <c r="I1" s="94" t="s">
        <v>59</v>
      </c>
      <c r="J1" s="94" t="s">
        <v>60</v>
      </c>
      <c r="K1" s="94" t="s">
        <v>61</v>
      </c>
      <c r="L1" s="94" t="s">
        <v>18</v>
      </c>
      <c r="M1" s="94" t="s">
        <v>20</v>
      </c>
      <c r="N1" s="94" t="s">
        <v>21</v>
      </c>
      <c r="O1" s="94" t="s">
        <v>19</v>
      </c>
      <c r="P1" s="94" t="s">
        <v>22</v>
      </c>
      <c r="Q1" s="94" t="s">
        <v>62</v>
      </c>
      <c r="R1" s="94" t="s">
        <v>63</v>
      </c>
      <c r="S1" s="94" t="s">
        <v>64</v>
      </c>
      <c r="T1" s="94" t="s">
        <v>65</v>
      </c>
      <c r="U1" s="94" t="s">
        <v>66</v>
      </c>
      <c r="V1" s="94" t="s">
        <v>67</v>
      </c>
      <c r="W1" s="94" t="s">
        <v>68</v>
      </c>
      <c r="X1" s="94" t="s">
        <v>69</v>
      </c>
      <c r="Y1" s="94" t="s">
        <v>70</v>
      </c>
      <c r="Z1" s="94" t="s">
        <v>71</v>
      </c>
      <c r="AA1" s="94" t="s">
        <v>72</v>
      </c>
      <c r="AB1" s="94" t="s">
        <v>73</v>
      </c>
      <c r="AC1" s="94" t="s">
        <v>74</v>
      </c>
      <c r="AD1" s="94" t="s">
        <v>75</v>
      </c>
      <c r="AE1" s="94" t="s">
        <v>76</v>
      </c>
      <c r="AF1" s="94" t="s">
        <v>77</v>
      </c>
      <c r="AG1" s="94" t="s">
        <v>78</v>
      </c>
      <c r="AH1" s="94" t="s">
        <v>79</v>
      </c>
      <c r="AI1" s="94" t="s">
        <v>80</v>
      </c>
      <c r="AJ1" s="94" t="s">
        <v>81</v>
      </c>
    </row>
    <row r="2" spans="1:36" x14ac:dyDescent="0.3">
      <c r="A2" s="96" t="s">
        <v>128</v>
      </c>
      <c r="B2" s="97">
        <v>45989</v>
      </c>
      <c r="C2" s="98" t="s">
        <v>115</v>
      </c>
      <c r="D2" s="99" t="s">
        <v>129</v>
      </c>
      <c r="E2" s="98" t="s">
        <v>112</v>
      </c>
      <c r="F2" s="98" t="s">
        <v>84</v>
      </c>
      <c r="G2" s="100">
        <v>0.42859999999999998</v>
      </c>
      <c r="H2" s="101">
        <v>168</v>
      </c>
      <c r="I2" s="101">
        <v>72</v>
      </c>
      <c r="J2" s="101">
        <v>0</v>
      </c>
      <c r="K2" s="98" t="s">
        <v>85</v>
      </c>
      <c r="L2" s="102" t="s">
        <v>32</v>
      </c>
      <c r="M2" s="101">
        <v>2</v>
      </c>
      <c r="N2" s="101">
        <v>11</v>
      </c>
      <c r="O2" s="101">
        <v>49</v>
      </c>
      <c r="P2" s="98" t="s">
        <v>116</v>
      </c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101" t="s">
        <v>130</v>
      </c>
      <c r="AE2" s="101" t="s">
        <v>131</v>
      </c>
      <c r="AF2" s="101" t="s">
        <v>101</v>
      </c>
      <c r="AG2" s="94"/>
      <c r="AH2" s="94"/>
      <c r="AI2" s="94"/>
      <c r="AJ2" s="94"/>
    </row>
    <row r="3" spans="1:36" x14ac:dyDescent="0.3">
      <c r="A3" s="96" t="s">
        <v>128</v>
      </c>
      <c r="B3" s="97">
        <v>45996</v>
      </c>
      <c r="C3" s="98" t="s">
        <v>115</v>
      </c>
      <c r="D3" s="99" t="s">
        <v>129</v>
      </c>
      <c r="E3" s="98" t="s">
        <v>112</v>
      </c>
      <c r="F3" s="98" t="s">
        <v>84</v>
      </c>
      <c r="G3" s="100">
        <v>0.19639999999999999</v>
      </c>
      <c r="H3" s="101">
        <v>168</v>
      </c>
      <c r="I3" s="101">
        <v>33</v>
      </c>
      <c r="J3" s="101">
        <v>0</v>
      </c>
      <c r="K3" s="98" t="s">
        <v>85</v>
      </c>
      <c r="L3" s="102" t="s">
        <v>32</v>
      </c>
      <c r="M3" s="101">
        <v>1</v>
      </c>
      <c r="N3" s="101">
        <v>6</v>
      </c>
      <c r="O3" s="101">
        <v>20</v>
      </c>
      <c r="P3" s="98" t="s">
        <v>37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101" t="s">
        <v>132</v>
      </c>
      <c r="AF3" s="101" t="s">
        <v>133</v>
      </c>
      <c r="AG3" s="94"/>
      <c r="AH3" s="94"/>
      <c r="AI3" s="94"/>
      <c r="AJ3" s="94"/>
    </row>
    <row r="4" spans="1:36" ht="21" x14ac:dyDescent="0.3">
      <c r="A4" s="103" t="s">
        <v>136</v>
      </c>
      <c r="B4" s="104"/>
      <c r="C4" s="103">
        <f>SUBTOTAL(103,AJF_ATZ_LF_LEGACY[Flt])</f>
        <v>2</v>
      </c>
      <c r="D4" s="103"/>
      <c r="E4" s="103">
        <f>SUBTOTAL(103,AJF_ATZ_LF_LEGACY[Brd-Off])</f>
        <v>2</v>
      </c>
      <c r="F4" s="103"/>
      <c r="G4" s="105">
        <f>SUBTOTAL(101,AJF_ATZ_LF_LEGACY[LF%])</f>
        <v>0.3125</v>
      </c>
      <c r="H4" s="106">
        <f>SUBTOTAL(109,AJF_ATZ_LF_LEGACY[CAP])</f>
        <v>336</v>
      </c>
      <c r="I4" s="106">
        <f>SUBTOTAL(109,AJF_ATZ_LF_LEGACY[BKG(Y)])</f>
        <v>105</v>
      </c>
      <c r="J4" s="106">
        <f>SUBTOTAL(109,AJF_ATZ_LF_LEGACY[GRP(Y)])</f>
        <v>0</v>
      </c>
      <c r="K4" s="103"/>
      <c r="L4" s="104"/>
      <c r="M4" s="106">
        <f>SUBTOTAL(109,AJF_ATZ_LF_LEGACY[TO-DAY])</f>
        <v>3</v>
      </c>
      <c r="N4" s="106">
        <f>SUBTOTAL(109,AJF_ATZ_LF_LEGACY[Y-DAY])</f>
        <v>17</v>
      </c>
      <c r="O4" s="106">
        <f>SUBTOTAL(109,AJF_ATZ_LF_LEGACY[WEEKLY])</f>
        <v>69</v>
      </c>
      <c r="P4" s="107"/>
      <c r="Q4" s="106">
        <f>SUBTOTAL(109,AJF_ATZ_LF_LEGACY[Y])</f>
        <v>0</v>
      </c>
      <c r="R4" s="106">
        <f>SUBTOTAL(109,AJF_ATZ_LF_LEGACY[B])</f>
        <v>0</v>
      </c>
      <c r="S4" s="106">
        <f>SUBTOTAL(109,AJF_ATZ_LF_LEGACY[M])</f>
        <v>0</v>
      </c>
      <c r="T4" s="106">
        <f>SUBTOTAL(109,AJF_ATZ_LF_LEGACY[H])</f>
        <v>0</v>
      </c>
      <c r="U4" s="106">
        <f>SUBTOTAL(109,AJF_ATZ_LF_LEGACY[Q])</f>
        <v>0</v>
      </c>
      <c r="V4" s="106">
        <f>SUBTOTAL(109,AJF_ATZ_LF_LEGACY[K])</f>
        <v>0</v>
      </c>
      <c r="W4" s="106">
        <f>SUBTOTAL(109,AJF_ATZ_LF_LEGACY[V])</f>
        <v>0</v>
      </c>
      <c r="X4" s="106">
        <f>SUBTOTAL(109,AJF_ATZ_LF_LEGACY[L])</f>
        <v>0</v>
      </c>
      <c r="Y4" s="106">
        <f>SUBTOTAL(109,AJF_ATZ_LF_LEGACY[G])</f>
        <v>0</v>
      </c>
      <c r="Z4" s="106">
        <f>SUBTOTAL(109,AJF_ATZ_LF_LEGACY[S])</f>
        <v>0</v>
      </c>
      <c r="AA4" s="106">
        <f>SUBTOTAL(109,AJF_ATZ_LF_LEGACY[W])</f>
        <v>0</v>
      </c>
      <c r="AB4" s="106">
        <f>SUBTOTAL(109,AJF_ATZ_LF_LEGACY[T])</f>
        <v>0</v>
      </c>
      <c r="AC4" s="106">
        <f>SUBTOTAL(109,AJF_ATZ_LF_LEGACY[X])</f>
        <v>0</v>
      </c>
      <c r="AD4" s="106">
        <f>SUBTOTAL(109,AJF_ATZ_LF_LEGACY[U])</f>
        <v>0</v>
      </c>
      <c r="AE4" s="106">
        <f>SUBTOTAL(109,AJF_ATZ_LF_LEGACY[O])</f>
        <v>0</v>
      </c>
      <c r="AF4" s="106">
        <f>SUBTOTAL(109,AJF_ATZ_LF_LEGACY[I])</f>
        <v>0</v>
      </c>
      <c r="AG4" s="106">
        <f>SUBTOTAL(109,AJF_ATZ_LF_LEGACY[E])</f>
        <v>0</v>
      </c>
      <c r="AH4" s="106">
        <f>SUBTOTAL(109,AJF_ATZ_LF_LEGACY[A])</f>
        <v>0</v>
      </c>
      <c r="AI4" s="106">
        <f>SUBTOTAL(109,AJF_ATZ_LF_LEGACY[P])</f>
        <v>0</v>
      </c>
      <c r="AJ4" s="106">
        <f>SUBTOTAL(103,AJF_ATZ_LF_LEGACY[N])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  <col min="9" max="9" width="162.44140625" hidden="1" customWidth="1"/>
  </cols>
  <sheetData>
    <row r="1" spans="1:8" ht="18" x14ac:dyDescent="0.3">
      <c r="A1" s="48" t="s">
        <v>109</v>
      </c>
      <c r="B1" s="49" t="s">
        <v>8</v>
      </c>
      <c r="C1" s="49" t="s">
        <v>9</v>
      </c>
      <c r="D1" s="49" t="s">
        <v>110</v>
      </c>
      <c r="E1" s="49" t="s">
        <v>10</v>
      </c>
      <c r="F1" s="49" t="s">
        <v>11</v>
      </c>
      <c r="G1" s="49" t="s">
        <v>12</v>
      </c>
      <c r="H1" s="50" t="s">
        <v>13</v>
      </c>
    </row>
    <row r="2" spans="1:8" ht="19.8" customHeight="1" x14ac:dyDescent="0.3">
      <c r="A2" s="51" t="s">
        <v>134</v>
      </c>
      <c r="B2" s="52" t="s">
        <v>26</v>
      </c>
      <c r="C2" s="53" t="s">
        <v>113</v>
      </c>
      <c r="D2" s="52" t="s">
        <v>112</v>
      </c>
      <c r="E2" s="52" t="s">
        <v>129</v>
      </c>
      <c r="F2" s="52" t="s">
        <v>28</v>
      </c>
      <c r="G2" s="54">
        <v>9</v>
      </c>
      <c r="H2" s="55">
        <v>483</v>
      </c>
    </row>
    <row r="3" spans="1:8" ht="19.8" customHeight="1" x14ac:dyDescent="0.3">
      <c r="A3" s="73"/>
      <c r="B3" s="74"/>
      <c r="C3" s="74"/>
      <c r="D3" s="74"/>
      <c r="E3" s="74"/>
      <c r="F3" s="75" t="s">
        <v>135</v>
      </c>
      <c r="G3" s="74"/>
      <c r="H3" s="76"/>
    </row>
    <row r="4" spans="1:8" ht="19.8" customHeight="1" x14ac:dyDescent="0.3">
      <c r="A4" s="62">
        <v>45990</v>
      </c>
      <c r="B4" s="63" t="s">
        <v>26</v>
      </c>
      <c r="C4" s="64" t="s">
        <v>119</v>
      </c>
      <c r="D4" s="63" t="s">
        <v>1</v>
      </c>
      <c r="E4" s="65">
        <v>1.9375</v>
      </c>
      <c r="F4" s="63" t="s">
        <v>121</v>
      </c>
      <c r="G4" s="66">
        <v>2</v>
      </c>
      <c r="H4" s="77" t="s">
        <v>123</v>
      </c>
    </row>
    <row r="5" spans="1:8" ht="19.8" customHeight="1" x14ac:dyDescent="0.3">
      <c r="A5" s="68">
        <v>45996</v>
      </c>
      <c r="B5" s="52" t="s">
        <v>26</v>
      </c>
      <c r="C5" s="53" t="s">
        <v>113</v>
      </c>
      <c r="D5" s="52" t="s">
        <v>112</v>
      </c>
      <c r="E5" s="69">
        <v>1.635416666666667</v>
      </c>
      <c r="F5" s="52"/>
      <c r="G5" s="52"/>
      <c r="H5" s="78" t="s">
        <v>125</v>
      </c>
    </row>
    <row r="6" spans="1:8" ht="19.8" customHeight="1" x14ac:dyDescent="0.3">
      <c r="A6" s="73"/>
      <c r="B6" s="74"/>
      <c r="C6" s="74"/>
      <c r="D6" s="74"/>
      <c r="E6" s="74"/>
      <c r="F6" s="75" t="s">
        <v>135</v>
      </c>
      <c r="G6" s="74"/>
      <c r="H6" s="76"/>
    </row>
    <row r="7" spans="1:8" ht="19.8" customHeight="1" x14ac:dyDescent="0.3">
      <c r="A7" s="62">
        <v>45997</v>
      </c>
      <c r="B7" s="63" t="s">
        <v>26</v>
      </c>
      <c r="C7" s="64" t="s">
        <v>119</v>
      </c>
      <c r="D7" s="63" t="s">
        <v>1</v>
      </c>
      <c r="E7" s="65">
        <v>1.9375</v>
      </c>
      <c r="F7" s="63" t="s">
        <v>121</v>
      </c>
      <c r="G7" s="66">
        <v>9</v>
      </c>
      <c r="H7" s="77" t="s">
        <v>123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AJF-CAI</vt:lpstr>
      <vt:lpstr>AJF-CAI LF LEGACY</vt:lpstr>
      <vt:lpstr>AJF-CAI - FOCUS MODE</vt:lpstr>
      <vt:lpstr>AJF-ATZ</vt:lpstr>
      <vt:lpstr>AJF-ATZ LF LEGACY</vt:lpstr>
      <vt:lpstr>AJF-ATZ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2025-11-21T16:51:08Z</dcterms:created>
  <dcterms:modified xsi:type="dcterms:W3CDTF">2025-11-21T16:51:14Z</dcterms:modified>
</cp:coreProperties>
</file>