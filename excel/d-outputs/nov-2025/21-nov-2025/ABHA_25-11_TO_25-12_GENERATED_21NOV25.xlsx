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4442599-18FA-4638-A235-6A1F9116C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B-CAI" sheetId="1" r:id="rId1"/>
    <sheet name="AHB-CAI LF LEGACY" sheetId="2" r:id="rId2"/>
    <sheet name="AHB-CAI - FOCUS MODE" sheetId="3" r:id="rId3"/>
    <sheet name="AHB-ATZ" sheetId="4" r:id="rId4"/>
    <sheet name="AHB-ATZ LF LEGACY" sheetId="5" r:id="rId5"/>
    <sheet name="AHB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  <c r="E4" i="5"/>
  <c r="G4" i="5"/>
  <c r="H4" i="5"/>
  <c r="I4" i="5"/>
  <c r="J4" i="5"/>
  <c r="M4" i="5"/>
  <c r="N4" i="5"/>
  <c r="O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" authorId="0" shapeId="0" xr:uid="{1AD3B760-A9E3-4883-93BA-4AAC93B6BC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W4 &amp; T6 &amp; X62 &amp; O1</t>
        </r>
      </text>
    </comment>
    <comment ref="F5" authorId="0" shapeId="0" xr:uid="{8FD9C07D-59C3-427C-A55C-231764FCEB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W3 &amp; T8 &amp; X39 &amp; U9 &amp; O10</t>
        </r>
      </text>
    </comment>
    <comment ref="F10" authorId="0" shapeId="0" xr:uid="{26BD3DBB-C6C1-4849-8D4A-5A3F669158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T1 &amp; X33 &amp; U6 &amp; O9 &amp; I8</t>
        </r>
      </text>
    </comment>
    <comment ref="F14" authorId="0" shapeId="0" xr:uid="{EE479EDD-2C9E-436C-89B3-9CA71BA9C2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X18 &amp; U7 &amp; O3</t>
        </r>
      </text>
    </comment>
    <comment ref="F16" authorId="0" shapeId="0" xr:uid="{DF179CA9-2270-4321-9990-351E01F0BE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S3 &amp; W7 &amp; T5 &amp; X29 &amp; U11 &amp; O1</t>
        </r>
      </text>
    </comment>
    <comment ref="F20" authorId="0" shapeId="0" xr:uid="{DC0D75E9-413D-450C-98C7-D5D040F24C4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X11 &amp; U4 &amp; O4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99BBE33-B4B5-43D6-81A3-68311B3DDAA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G19 &amp; S14 &amp; W10</t>
        </r>
      </text>
    </comment>
    <comment ref="F3" authorId="0" shapeId="0" xr:uid="{4BA82D44-0B64-48C6-A62A-F93A862C434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SM446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18.4%]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G7 &amp; S3 &amp; W5 &amp; T5 &amp; X9 &amp; O2</t>
        </r>
      </text>
    </comment>
  </commentList>
</comments>
</file>

<file path=xl/sharedStrings.xml><?xml version="1.0" encoding="utf-8"?>
<sst xmlns="http://schemas.openxmlformats.org/spreadsheetml/2006/main" count="860" uniqueCount="166">
  <si>
    <t>COMPREHENSIVE REPORT</t>
  </si>
  <si>
    <t>AHB-CAI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</si>
  <si>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</si>
  <si>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</si>
  <si>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</si>
  <si>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</si>
  <si>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</si>
  <si>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</si>
  <si>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</si>
  <si>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</si>
  <si>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</si>
  <si>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</si>
  <si>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</si>
  <si>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</si>
  <si>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</si>
  <si>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</si>
  <si>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</si>
  <si>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</si>
  <si>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</si>
  <si>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</si>
  <si>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</si>
  <si>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</si>
  <si>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</si>
  <si>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</si>
  <si>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</si>
  <si>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</si>
  <si>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</si>
  <si>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NP-144</t>
  </si>
  <si>
    <t>Cabin: 7 KG | Check-in: 40 KG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</si>
  <si>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</si>
  <si>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763 SAR</t>
  </si>
  <si>
    <t>Air Cairo</t>
  </si>
  <si>
    <t>SM-448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</si>
  <si>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</si>
  <si>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564 SAR</t>
  </si>
  <si>
    <t>SM448</t>
  </si>
  <si>
    <t>2025-11-21 00:00:00</t>
  </si>
  <si>
    <t>X5</t>
  </si>
  <si>
    <t>S3 &amp; W4 &amp; T6 &amp; X62 &amp; O1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</si>
  <si>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</si>
  <si>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571 SAR</t>
  </si>
  <si>
    <t>SM-444</t>
  </si>
  <si>
    <t>SM444</t>
  </si>
  <si>
    <t>X9</t>
  </si>
  <si>
    <t>W3 &amp; T8 &amp; X39 &amp; U9 &amp; O10</t>
  </si>
  <si>
    <t>Air Arabia Egypt</t>
  </si>
  <si>
    <t>E5-512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</si>
  <si>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</si>
  <si>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</si>
  <si>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575 SAR</t>
  </si>
  <si>
    <t>Cabin: 10 KG / Check-in: 2 x 40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</si>
  <si>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</si>
  <si>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703 SAR</t>
  </si>
  <si>
    <t>NP-244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</si>
  <si>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</si>
  <si>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550 SAR</t>
  </si>
  <si>
    <t>S1 &amp; W2 &amp; T1 &amp; X33 &amp; U6 &amp; O9 &amp; I8</t>
  </si>
  <si>
    <t>E5-514</t>
  </si>
  <si>
    <t>534 SAR</t>
  </si>
  <si>
    <t>657 SAR</t>
  </si>
  <si>
    <t>S3 &amp; X18 &amp; U7 &amp; O3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</si>
  <si>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</si>
  <si>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640 SAR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</si>
  <si>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</si>
  <si>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591 SAR</t>
  </si>
  <si>
    <t>T3</t>
  </si>
  <si>
    <t>G2 &amp; S3 &amp; W7 &amp; T5 &amp; X29 &amp; U11 &amp; O1</t>
  </si>
  <si>
    <t>539 SAR</t>
  </si>
  <si>
    <t>663 SAR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</si>
  <si>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</si>
  <si>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2025-11-12 00:00:00</t>
  </si>
  <si>
    <t>S1 &amp; X11 &amp; U4 &amp; O4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</si>
  <si>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</si>
  <si>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</si>
  <si>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</si>
  <si>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</si>
  <si>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</si>
  <si>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</si>
  <si>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</si>
  <si>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</si>
  <si>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</si>
  <si>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</si>
  <si>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</si>
  <si>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</si>
  <si>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</si>
  <si>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</si>
  <si>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</si>
  <si>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</si>
  <si>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</si>
  <si>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</si>
  <si>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</si>
  <si>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</si>
  <si>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</si>
  <si>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</si>
  <si>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</si>
  <si>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</si>
  <si>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</si>
  <si>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</si>
  <si>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</si>
  <si>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</si>
  <si>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</si>
  <si>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</si>
  <si>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01:05</t>
  </si>
  <si>
    <t>320</t>
  </si>
  <si>
    <t>UPCOMING</t>
  </si>
  <si>
    <t>S3</t>
  </si>
  <si>
    <t>W4</t>
  </si>
  <si>
    <t>T6</t>
  </si>
  <si>
    <t>X62</t>
  </si>
  <si>
    <t>O1</t>
  </si>
  <si>
    <t>FRIDAY</t>
  </si>
  <si>
    <t>00:05</t>
  </si>
  <si>
    <t>W3</t>
  </si>
  <si>
    <t>T8</t>
  </si>
  <si>
    <t>X39</t>
  </si>
  <si>
    <t>U9</t>
  </si>
  <si>
    <t>O10</t>
  </si>
  <si>
    <t>SUNDAY</t>
  </si>
  <si>
    <t>S1</t>
  </si>
  <si>
    <t>W2</t>
  </si>
  <si>
    <t>T1</t>
  </si>
  <si>
    <t>X33</t>
  </si>
  <si>
    <t>U6</t>
  </si>
  <si>
    <t>O9</t>
  </si>
  <si>
    <t>I8</t>
  </si>
  <si>
    <t>X18</t>
  </si>
  <si>
    <t>U7</t>
  </si>
  <si>
    <t>O3</t>
  </si>
  <si>
    <t>G2</t>
  </si>
  <si>
    <t>W7</t>
  </si>
  <si>
    <t>T5</t>
  </si>
  <si>
    <t>X29</t>
  </si>
  <si>
    <t>U11</t>
  </si>
  <si>
    <t>X11</t>
  </si>
  <si>
    <t>U4</t>
  </si>
  <si>
    <t>O4</t>
  </si>
  <si>
    <t>DATE</t>
  </si>
  <si>
    <t>ROUTE</t>
  </si>
  <si>
    <t>2025-11-25</t>
  </si>
  <si>
    <t>23:00</t>
  </si>
  <si>
    <t>2025-11-27</t>
  </si>
  <si>
    <t>AHB-ATZ</t>
  </si>
  <si>
    <t>SM-446</t>
  </si>
  <si>
    <t>786 SAR</t>
  </si>
  <si>
    <t>SM446</t>
  </si>
  <si>
    <t>G9</t>
  </si>
  <si>
    <t>L3 &amp; G19 &amp; S14 &amp; W10</t>
  </si>
  <si>
    <t>2025-11-20 00:00:00</t>
  </si>
  <si>
    <t>G7 &amp; S3 &amp; W5 &amp; T5 &amp; X9 &amp; O2</t>
  </si>
  <si>
    <t>Indirect competition route AHB – CAI - diversion ratio &amp; passenger leakage</t>
  </si>
  <si>
    <t>SM-70</t>
  </si>
  <si>
    <t>22:30</t>
  </si>
  <si>
    <t>Cabin: 7 KG | Check-in: 1 PIECE</t>
  </si>
  <si>
    <t>+9 FOR SAME CLASS</t>
  </si>
  <si>
    <t>4,277 EGP</t>
  </si>
  <si>
    <t>18:15</t>
  </si>
  <si>
    <t>L3</t>
  </si>
  <si>
    <t>G19</t>
  </si>
  <si>
    <t>S14</t>
  </si>
  <si>
    <t>W10</t>
  </si>
  <si>
    <t>G7</t>
  </si>
  <si>
    <t>W5</t>
  </si>
  <si>
    <t>O2</t>
  </si>
  <si>
    <t>2025-11-28</t>
  </si>
  <si>
    <t>AHB-CAI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</si>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</sst>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167" fontId="11" fillId="9" borderId="7" xfId="0" applyNumberFormat="1" applyFont="1" applyFill="1" applyBorder="1" applyAlignment="1">
      <alignment horizontal="center" vertical="center"/>
    </xf>
    <xf numFmtId="168" fontId="10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167" fontId="11" fillId="10" borderId="7" xfId="0" applyNumberFormat="1" applyFont="1" applyFill="1" applyBorder="1" applyAlignment="1">
      <alignment horizontal="center" vertical="center"/>
    </xf>
    <xf numFmtId="168" fontId="10" fillId="10" borderId="7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167" fontId="11" fillId="10" borderId="16" xfId="0" applyNumberFormat="1" applyFont="1" applyFill="1" applyBorder="1" applyAlignment="1">
      <alignment horizontal="center" vertical="center"/>
    </xf>
    <xf numFmtId="168" fontId="10" fillId="10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167" fontId="11" fillId="11" borderId="7" xfId="0" applyNumberFormat="1" applyFont="1" applyFill="1" applyBorder="1" applyAlignment="1">
      <alignment horizontal="center" vertical="center"/>
    </xf>
    <xf numFmtId="168" fontId="10" fillId="11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167" fontId="11" fillId="12" borderId="16" xfId="0" applyNumberFormat="1" applyFont="1" applyFill="1" applyBorder="1" applyAlignment="1">
      <alignment horizontal="center" vertical="center"/>
    </xf>
    <xf numFmtId="168" fontId="10" fillId="12" borderId="16" xfId="0" applyNumberFormat="1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3" borderId="22" xfId="0" applyFont="1" applyFill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13" fillId="13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71" fontId="14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71" fontId="15" fillId="0" borderId="30" xfId="0" applyNumberFormat="1" applyFont="1" applyBorder="1" applyAlignment="1">
      <alignment horizontal="center" vertical="center"/>
    </xf>
    <xf numFmtId="172" fontId="14" fillId="0" borderId="25" xfId="0" applyNumberFormat="1" applyFont="1" applyBorder="1" applyAlignment="1">
      <alignment horizontal="center" vertical="center"/>
    </xf>
    <xf numFmtId="173" fontId="14" fillId="0" borderId="26" xfId="0" applyNumberFormat="1" applyFont="1" applyBorder="1" applyAlignment="1">
      <alignment horizontal="center" vertical="center"/>
    </xf>
    <xf numFmtId="172" fontId="15" fillId="0" borderId="28" xfId="0" applyNumberFormat="1" applyFont="1" applyBorder="1" applyAlignment="1">
      <alignment horizontal="center" vertical="center"/>
    </xf>
    <xf numFmtId="173" fontId="15" fillId="0" borderId="29" xfId="0" applyNumberFormat="1" applyFont="1" applyBorder="1" applyAlignment="1">
      <alignment horizontal="center" vertical="center"/>
    </xf>
    <xf numFmtId="172" fontId="14" fillId="0" borderId="28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71" fontId="14" fillId="0" borderId="30" xfId="0" applyNumberFormat="1" applyFont="1" applyBorder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173" fontId="15" fillId="0" borderId="26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71" fontId="15" fillId="0" borderId="27" xfId="0" applyNumberFormat="1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167" fontId="11" fillId="14" borderId="16" xfId="0" applyNumberFormat="1" applyFont="1" applyFill="1" applyBorder="1" applyAlignment="1">
      <alignment horizontal="center" vertical="center"/>
    </xf>
    <xf numFmtId="168" fontId="10" fillId="14" borderId="16" xfId="0" applyNumberFormat="1" applyFont="1" applyFill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167" fontId="11" fillId="15" borderId="16" xfId="0" applyNumberFormat="1" applyFont="1" applyFill="1" applyBorder="1" applyAlignment="1">
      <alignment horizontal="center" vertical="center"/>
    </xf>
    <xf numFmtId="168" fontId="10" fillId="15" borderId="16" xfId="0" applyNumberFormat="1" applyFont="1" applyFill="1" applyBorder="1" applyAlignment="1">
      <alignment horizontal="center" vertical="center"/>
    </xf>
    <xf numFmtId="0" fontId="10" fillId="15" borderId="16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17" fillId="0" borderId="29" xfId="0" applyFont="1" applyBorder="1" applyAlignment="1">
      <alignment horizontal="center" vertical="center"/>
    </xf>
    <xf numFmtId="0" fontId="0" fillId="0" borderId="30" xfId="0" applyBorder="1"/>
    <xf numFmtId="0" fontId="14" fillId="0" borderId="27" xfId="0" applyFont="1" applyBorder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31" xfId="0" applyBorder="1"/>
    <xf numFmtId="0" fontId="17" fillId="0" borderId="14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2" fillId="0" borderId="0" xfId="0" applyFont="1" applyAlignment="1">
      <alignment horizontal="center" vertical="center"/>
    </xf>
    <xf numFmtId="0" fontId="22" fillId="0" borderId="0" xfId="0" applyFont="1"/>
    <xf numFmtId="169" fontId="22" fillId="0" borderId="0" xfId="0" applyNumberFormat="1" applyFont="1" applyAlignment="1">
      <alignment horizontal="center" vertical="center"/>
    </xf>
    <xf numFmtId="15" fontId="22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170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22" fillId="0" borderId="0" xfId="0" applyNumberFormat="1" applyFont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15" fontId="23" fillId="16" borderId="0" xfId="0" applyNumberFormat="1" applyFont="1" applyFill="1" applyAlignment="1">
      <alignment horizontal="center" vertical="center"/>
    </xf>
    <xf numFmtId="167" fontId="23" fillId="16" borderId="0" xfId="0" applyNumberFormat="1" applyFont="1" applyFill="1" applyAlignment="1">
      <alignment horizontal="center" vertical="center"/>
    </xf>
    <xf numFmtId="1" fontId="23" fillId="16" borderId="0" xfId="0" applyNumberFormat="1" applyFont="1" applyFill="1" applyAlignment="1">
      <alignment horizontal="center" vertical="center"/>
    </xf>
    <xf numFmtId="0" fontId="23" fillId="16" borderId="0" xfId="0" applyNumberFormat="1" applyFont="1" applyFill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HB_CAI_LF_LEGACY" displayName="AHB_CAI_LF_LEGACY" ref="A1:AJ8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AHB_CAI" displayName="FocusMode_AHB_CAI" ref="A1:H28" totalsRowShown="0">
  <autoFilter ref="A1:H2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HB_ATZ_LF_LEGACY" displayName="AHB_ATZ_LF_LEGACY" ref="A1:AJ4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AHB_ATZ" displayName="FocusMode_AHB_ATZ" ref="A1:H5" totalsRowShown="0">
  <autoFilter ref="A1:H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1093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1.6640625" bestFit="1" customWidth="1"/>
  </cols>
  <sheetData>
    <row r="1" spans="1:18" ht="25.05" customHeight="1" x14ac:dyDescent="0.3">
      <c r="A1" s="104" t="s">
        <v>0</v>
      </c>
      <c r="B1" s="99"/>
      <c r="C1" s="99"/>
      <c r="D1" s="99"/>
      <c r="E1" s="99"/>
      <c r="F1" s="1" t="s">
        <v>1</v>
      </c>
      <c r="G1" s="2" t="s">
        <v>2</v>
      </c>
      <c r="H1" s="103">
        <v>45986</v>
      </c>
      <c r="I1" s="99"/>
      <c r="J1" s="99"/>
      <c r="K1" s="99"/>
      <c r="L1" s="99"/>
      <c r="M1" s="1" t="s">
        <v>3</v>
      </c>
      <c r="N1" s="108">
        <v>46001</v>
      </c>
      <c r="O1" s="99"/>
      <c r="P1" s="99"/>
      <c r="Q1" s="99"/>
      <c r="R1" s="99"/>
    </row>
    <row r="2" spans="1:18" ht="18" customHeight="1" x14ac:dyDescent="0.3">
      <c r="A2" s="105" t="s">
        <v>4</v>
      </c>
      <c r="B2" s="99"/>
      <c r="C2" s="99"/>
      <c r="D2" s="99"/>
      <c r="E2" s="99"/>
      <c r="F2" s="99"/>
      <c r="G2" s="107">
        <v>45982.825497865677</v>
      </c>
      <c r="H2" s="99"/>
      <c r="I2" s="99"/>
      <c r="J2" s="99"/>
      <c r="K2" s="109">
        <v>45982.825497865982</v>
      </c>
      <c r="L2" s="99"/>
      <c r="M2" s="99"/>
      <c r="N2" s="99"/>
      <c r="O2" s="99"/>
      <c r="P2" s="99"/>
      <c r="Q2" s="99"/>
      <c r="R2" s="99"/>
    </row>
    <row r="3" spans="1:18" ht="24" customHeight="1" x14ac:dyDescent="0.3">
      <c r="A3" s="106" t="s">
        <v>5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ht="22.05" customHeight="1" x14ac:dyDescent="0.3">
      <c r="A4" s="100" t="s">
        <v>6</v>
      </c>
      <c r="B4" s="101"/>
      <c r="C4" s="101"/>
      <c r="D4" s="101"/>
      <c r="E4" s="101"/>
      <c r="F4" s="102"/>
      <c r="G4" s="3">
        <v>45986</v>
      </c>
      <c r="H4" s="100" t="s">
        <v>7</v>
      </c>
      <c r="I4" s="101"/>
      <c r="J4" s="101"/>
      <c r="K4" s="101"/>
      <c r="L4" s="101"/>
      <c r="M4" s="101"/>
      <c r="N4" s="101"/>
      <c r="O4" s="101"/>
      <c r="P4" s="101"/>
      <c r="Q4" s="101"/>
      <c r="R4" s="102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0.95833333333333337</v>
      </c>
      <c r="D6" s="7" t="s">
        <v>28</v>
      </c>
      <c r="E6" s="7" t="s">
        <v>29</v>
      </c>
      <c r="F6" s="7" t="s">
        <v>30</v>
      </c>
      <c r="G6" s="99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7.399999999999999" customHeight="1" x14ac:dyDescent="0.3">
      <c r="A7" s="128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30"/>
    </row>
    <row r="8" spans="1:18" ht="17.399999999999999" customHeight="1" x14ac:dyDescent="0.3">
      <c r="A8" s="128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30"/>
    </row>
    <row r="9" spans="1:18" ht="22.05" customHeight="1" x14ac:dyDescent="0.3">
      <c r="A9" s="100" t="s">
        <v>6</v>
      </c>
      <c r="B9" s="101"/>
      <c r="C9" s="101"/>
      <c r="D9" s="101"/>
      <c r="E9" s="101"/>
      <c r="F9" s="102"/>
      <c r="G9" s="3">
        <v>45988</v>
      </c>
      <c r="H9" s="100" t="s">
        <v>7</v>
      </c>
      <c r="I9" s="101"/>
      <c r="J9" s="101"/>
      <c r="K9" s="101"/>
      <c r="L9" s="101"/>
      <c r="M9" s="101"/>
      <c r="N9" s="101"/>
      <c r="O9" s="101"/>
      <c r="P9" s="101"/>
      <c r="Q9" s="101"/>
      <c r="R9" s="102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11" t="s">
        <v>31</v>
      </c>
      <c r="B11" s="11" t="s">
        <v>32</v>
      </c>
      <c r="C11" s="11">
        <v>4.5138888888888888E-2</v>
      </c>
      <c r="D11" s="11" t="s">
        <v>28</v>
      </c>
      <c r="E11" s="11" t="s">
        <v>33</v>
      </c>
      <c r="F11" s="11" t="s">
        <v>34</v>
      </c>
      <c r="G11" s="99"/>
      <c r="H11" s="12" t="s">
        <v>35</v>
      </c>
      <c r="I11" s="13">
        <v>0.45240000000000002</v>
      </c>
      <c r="J11" s="14">
        <v>76</v>
      </c>
      <c r="K11" s="15" t="s">
        <v>36</v>
      </c>
      <c r="L11" s="14">
        <v>55</v>
      </c>
      <c r="M11" s="14">
        <v>13</v>
      </c>
      <c r="N11" s="14">
        <v>6</v>
      </c>
      <c r="O11" s="15" t="s">
        <v>37</v>
      </c>
      <c r="P11" s="15">
        <v>4.5138888888888888E-2</v>
      </c>
      <c r="Q11" s="14">
        <v>168</v>
      </c>
      <c r="R11" s="16" t="s">
        <v>38</v>
      </c>
    </row>
    <row r="12" spans="1:18" ht="49.95" customHeight="1" x14ac:dyDescent="0.3">
      <c r="A12" s="17" t="s">
        <v>26</v>
      </c>
      <c r="B12" s="17" t="s">
        <v>27</v>
      </c>
      <c r="C12" s="17">
        <v>0.99652777777777779</v>
      </c>
      <c r="D12" s="17" t="s">
        <v>28</v>
      </c>
      <c r="E12" s="17" t="s">
        <v>39</v>
      </c>
      <c r="F12" s="17" t="s">
        <v>40</v>
      </c>
      <c r="G12" s="99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17.399999999999999" customHeight="1" x14ac:dyDescent="0.3">
      <c r="A13" s="128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0"/>
    </row>
    <row r="14" spans="1:18" ht="22.05" customHeight="1" x14ac:dyDescent="0.3">
      <c r="A14" s="100" t="s">
        <v>6</v>
      </c>
      <c r="B14" s="101"/>
      <c r="C14" s="101"/>
      <c r="D14" s="101"/>
      <c r="E14" s="101"/>
      <c r="F14" s="102"/>
      <c r="G14" s="3">
        <v>45989</v>
      </c>
      <c r="H14" s="100" t="s">
        <v>7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2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18" t="s">
        <v>31</v>
      </c>
      <c r="B16" s="18" t="s">
        <v>41</v>
      </c>
      <c r="C16" s="18">
        <v>3.472222222222222E-3</v>
      </c>
      <c r="D16" s="18" t="s">
        <v>28</v>
      </c>
      <c r="E16" s="18" t="s">
        <v>39</v>
      </c>
      <c r="F16" s="18" t="s">
        <v>34</v>
      </c>
      <c r="G16" s="99"/>
      <c r="H16" s="19" t="s">
        <v>42</v>
      </c>
      <c r="I16" s="20">
        <v>0.41070000000000001</v>
      </c>
      <c r="J16" s="21">
        <v>69</v>
      </c>
      <c r="K16" s="22" t="s">
        <v>36</v>
      </c>
      <c r="L16" s="21">
        <v>33</v>
      </c>
      <c r="M16" s="21">
        <v>3</v>
      </c>
      <c r="N16" s="21">
        <v>5</v>
      </c>
      <c r="O16" s="22" t="s">
        <v>43</v>
      </c>
      <c r="P16" s="22">
        <v>3.472222222222222E-3</v>
      </c>
      <c r="Q16" s="21">
        <v>168</v>
      </c>
      <c r="R16" s="23" t="s">
        <v>44</v>
      </c>
    </row>
    <row r="17" spans="1:18" ht="49.95" customHeight="1" x14ac:dyDescent="0.3">
      <c r="A17" s="24" t="s">
        <v>45</v>
      </c>
      <c r="B17" s="24" t="s">
        <v>46</v>
      </c>
      <c r="C17" s="24">
        <v>0.91666666666666663</v>
      </c>
      <c r="D17" s="24" t="s">
        <v>47</v>
      </c>
      <c r="E17" s="24" t="s">
        <v>48</v>
      </c>
      <c r="F17" s="24" t="s">
        <v>49</v>
      </c>
      <c r="G17" s="99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7"/>
    </row>
    <row r="18" spans="1:18" ht="49.95" customHeight="1" x14ac:dyDescent="0.3">
      <c r="A18" s="28" t="s">
        <v>45</v>
      </c>
      <c r="B18" s="28" t="s">
        <v>46</v>
      </c>
      <c r="C18" s="28">
        <v>0.91666666666666663</v>
      </c>
      <c r="D18" s="28" t="s">
        <v>50</v>
      </c>
      <c r="E18" s="28" t="s">
        <v>51</v>
      </c>
      <c r="F18" s="28" t="s">
        <v>52</v>
      </c>
      <c r="G18" s="99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7.399999999999999" customHeight="1" x14ac:dyDescent="0.3">
      <c r="A19" s="128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30"/>
    </row>
    <row r="20" spans="1:18" ht="22.05" customHeight="1" x14ac:dyDescent="0.3">
      <c r="A20" s="100" t="s">
        <v>6</v>
      </c>
      <c r="B20" s="101"/>
      <c r="C20" s="101"/>
      <c r="D20" s="101"/>
      <c r="E20" s="101"/>
      <c r="F20" s="102"/>
      <c r="G20" s="3">
        <v>45990</v>
      </c>
      <c r="H20" s="100" t="s">
        <v>7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2"/>
    </row>
    <row r="21" spans="1:18" ht="24" customHeight="1" x14ac:dyDescent="0.3">
      <c r="A21" s="4" t="s">
        <v>8</v>
      </c>
      <c r="B21" s="4" t="s">
        <v>9</v>
      </c>
      <c r="C21" s="4" t="s">
        <v>10</v>
      </c>
      <c r="D21" s="4" t="s">
        <v>11</v>
      </c>
      <c r="E21" s="4" t="s">
        <v>12</v>
      </c>
      <c r="F21" s="5" t="s">
        <v>13</v>
      </c>
      <c r="G21" s="6" t="s">
        <v>14</v>
      </c>
      <c r="H21" s="4" t="s">
        <v>15</v>
      </c>
      <c r="I21" s="4" t="s">
        <v>16</v>
      </c>
      <c r="J21" s="4" t="s">
        <v>17</v>
      </c>
      <c r="K21" s="4" t="s">
        <v>18</v>
      </c>
      <c r="L21" s="4" t="s">
        <v>19</v>
      </c>
      <c r="M21" s="4" t="s">
        <v>20</v>
      </c>
      <c r="N21" s="4" t="s">
        <v>21</v>
      </c>
      <c r="O21" s="4" t="s">
        <v>22</v>
      </c>
      <c r="P21" s="4" t="s">
        <v>23</v>
      </c>
      <c r="Q21" s="4" t="s">
        <v>24</v>
      </c>
      <c r="R21" s="4" t="s">
        <v>25</v>
      </c>
    </row>
    <row r="22" spans="1:18" ht="49.95" customHeight="1" x14ac:dyDescent="0.3">
      <c r="A22" s="7" t="s">
        <v>26</v>
      </c>
      <c r="B22" s="7" t="s">
        <v>53</v>
      </c>
      <c r="C22" s="7">
        <v>0.19791666666666671</v>
      </c>
      <c r="D22" s="7" t="s">
        <v>28</v>
      </c>
      <c r="E22" s="7" t="s">
        <v>54</v>
      </c>
      <c r="F22" s="7" t="s">
        <v>55</v>
      </c>
      <c r="G22" s="99"/>
      <c r="H22" s="8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 ht="17.399999999999999" customHeight="1" x14ac:dyDescent="0.3">
      <c r="A23" s="128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30"/>
    </row>
    <row r="24" spans="1:18" ht="22.05" customHeight="1" x14ac:dyDescent="0.3">
      <c r="A24" s="100" t="s">
        <v>6</v>
      </c>
      <c r="B24" s="101"/>
      <c r="C24" s="101"/>
      <c r="D24" s="101"/>
      <c r="E24" s="101"/>
      <c r="F24" s="102"/>
      <c r="G24" s="3">
        <v>45991</v>
      </c>
      <c r="H24" s="100" t="s">
        <v>7</v>
      </c>
      <c r="I24" s="101"/>
      <c r="J24" s="101"/>
      <c r="K24" s="101"/>
      <c r="L24" s="101"/>
      <c r="M24" s="101"/>
      <c r="N24" s="101"/>
      <c r="O24" s="101"/>
      <c r="P24" s="101"/>
      <c r="Q24" s="101"/>
      <c r="R24" s="102"/>
    </row>
    <row r="25" spans="1:18" ht="24" customHeight="1" x14ac:dyDescent="0.3">
      <c r="A25" s="4" t="s">
        <v>8</v>
      </c>
      <c r="B25" s="4" t="s">
        <v>9</v>
      </c>
      <c r="C25" s="4" t="s">
        <v>10</v>
      </c>
      <c r="D25" s="4" t="s">
        <v>11</v>
      </c>
      <c r="E25" s="4" t="s">
        <v>12</v>
      </c>
      <c r="F25" s="5" t="s">
        <v>13</v>
      </c>
      <c r="G25" s="6" t="s">
        <v>14</v>
      </c>
      <c r="H25" s="4" t="s">
        <v>15</v>
      </c>
      <c r="I25" s="4" t="s">
        <v>16</v>
      </c>
      <c r="J25" s="4" t="s">
        <v>17</v>
      </c>
      <c r="K25" s="4" t="s">
        <v>18</v>
      </c>
      <c r="L25" s="4" t="s">
        <v>19</v>
      </c>
      <c r="M25" s="4" t="s">
        <v>20</v>
      </c>
      <c r="N25" s="4" t="s">
        <v>21</v>
      </c>
      <c r="O25" s="4" t="s">
        <v>22</v>
      </c>
      <c r="P25" s="4" t="s">
        <v>23</v>
      </c>
      <c r="Q25" s="4" t="s">
        <v>24</v>
      </c>
      <c r="R25" s="4" t="s">
        <v>25</v>
      </c>
    </row>
    <row r="26" spans="1:18" ht="49.95" customHeight="1" x14ac:dyDescent="0.3">
      <c r="A26" s="29" t="s">
        <v>26</v>
      </c>
      <c r="B26" s="29" t="s">
        <v>27</v>
      </c>
      <c r="C26" s="29">
        <v>0.91666666666666663</v>
      </c>
      <c r="D26" s="29" t="s">
        <v>28</v>
      </c>
      <c r="E26" s="29" t="s">
        <v>33</v>
      </c>
      <c r="F26" s="29" t="s">
        <v>55</v>
      </c>
      <c r="G26" s="99"/>
      <c r="H26" s="25"/>
      <c r="I26" s="26"/>
      <c r="J26" s="26"/>
      <c r="K26" s="26"/>
      <c r="L26" s="26"/>
      <c r="M26" s="26"/>
      <c r="N26" s="26"/>
      <c r="O26" s="26"/>
      <c r="P26" s="26"/>
      <c r="Q26" s="26"/>
      <c r="R26" s="27"/>
    </row>
    <row r="27" spans="1:18" ht="49.95" customHeight="1" x14ac:dyDescent="0.3">
      <c r="A27" s="30" t="s">
        <v>31</v>
      </c>
      <c r="B27" s="30" t="s">
        <v>41</v>
      </c>
      <c r="C27" s="30">
        <v>3.472222222222222E-3</v>
      </c>
      <c r="D27" s="30" t="s">
        <v>28</v>
      </c>
      <c r="E27" s="30" t="s">
        <v>39</v>
      </c>
      <c r="F27" s="30" t="s">
        <v>34</v>
      </c>
      <c r="G27" s="99"/>
      <c r="H27" s="31" t="s">
        <v>42</v>
      </c>
      <c r="I27" s="32">
        <v>0.35709999999999997</v>
      </c>
      <c r="J27" s="33">
        <v>60</v>
      </c>
      <c r="K27" s="34" t="s">
        <v>36</v>
      </c>
      <c r="L27" s="33">
        <v>19</v>
      </c>
      <c r="M27" s="33">
        <v>1</v>
      </c>
      <c r="N27" s="33">
        <v>5</v>
      </c>
      <c r="O27" s="34" t="s">
        <v>43</v>
      </c>
      <c r="P27" s="34">
        <v>3.472222222222222E-3</v>
      </c>
      <c r="Q27" s="33">
        <v>168</v>
      </c>
      <c r="R27" s="35" t="s">
        <v>56</v>
      </c>
    </row>
    <row r="28" spans="1:18" ht="17.399999999999999" customHeight="1" x14ac:dyDescent="0.3">
      <c r="A28" s="128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30"/>
    </row>
    <row r="29" spans="1:18" ht="22.05" customHeight="1" x14ac:dyDescent="0.3">
      <c r="A29" s="100" t="s">
        <v>6</v>
      </c>
      <c r="B29" s="101"/>
      <c r="C29" s="101"/>
      <c r="D29" s="101"/>
      <c r="E29" s="101"/>
      <c r="F29" s="102"/>
      <c r="G29" s="3">
        <v>45992</v>
      </c>
      <c r="H29" s="100" t="s">
        <v>7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2"/>
    </row>
    <row r="30" spans="1:18" ht="24" customHeight="1" x14ac:dyDescent="0.3">
      <c r="A30" s="4" t="s">
        <v>8</v>
      </c>
      <c r="B30" s="4" t="s">
        <v>9</v>
      </c>
      <c r="C30" s="4" t="s">
        <v>10</v>
      </c>
      <c r="D30" s="4" t="s">
        <v>11</v>
      </c>
      <c r="E30" s="4" t="s">
        <v>12</v>
      </c>
      <c r="F30" s="5" t="s">
        <v>13</v>
      </c>
      <c r="G30" s="6" t="s">
        <v>14</v>
      </c>
      <c r="H30" s="4" t="s">
        <v>15</v>
      </c>
      <c r="I30" s="4" t="s">
        <v>16</v>
      </c>
      <c r="J30" s="4" t="s">
        <v>17</v>
      </c>
      <c r="K30" s="4" t="s">
        <v>18</v>
      </c>
      <c r="L30" s="4" t="s">
        <v>19</v>
      </c>
      <c r="M30" s="4" t="s">
        <v>20</v>
      </c>
      <c r="N30" s="4" t="s">
        <v>21</v>
      </c>
      <c r="O30" s="4" t="s">
        <v>22</v>
      </c>
      <c r="P30" s="4" t="s">
        <v>23</v>
      </c>
      <c r="Q30" s="4" t="s">
        <v>24</v>
      </c>
      <c r="R30" s="4" t="s">
        <v>25</v>
      </c>
    </row>
    <row r="31" spans="1:18" ht="49.95" customHeight="1" x14ac:dyDescent="0.3">
      <c r="A31" s="29" t="s">
        <v>45</v>
      </c>
      <c r="B31" s="29" t="s">
        <v>57</v>
      </c>
      <c r="C31" s="29">
        <v>0.21875</v>
      </c>
      <c r="D31" s="29" t="s">
        <v>47</v>
      </c>
      <c r="E31" s="29" t="s">
        <v>48</v>
      </c>
      <c r="F31" s="29" t="s">
        <v>58</v>
      </c>
      <c r="G31" s="99"/>
      <c r="H31" s="25"/>
      <c r="I31" s="26"/>
      <c r="J31" s="26"/>
      <c r="K31" s="26"/>
      <c r="L31" s="26"/>
      <c r="M31" s="26"/>
      <c r="N31" s="26"/>
      <c r="O31" s="26"/>
      <c r="P31" s="26"/>
      <c r="Q31" s="26"/>
      <c r="R31" s="27"/>
    </row>
    <row r="32" spans="1:18" ht="49.95" customHeight="1" x14ac:dyDescent="0.3">
      <c r="A32" s="28" t="s">
        <v>45</v>
      </c>
      <c r="B32" s="28" t="s">
        <v>57</v>
      </c>
      <c r="C32" s="28">
        <v>0.21875</v>
      </c>
      <c r="D32" s="28" t="s">
        <v>50</v>
      </c>
      <c r="E32" s="28" t="s">
        <v>51</v>
      </c>
      <c r="F32" s="28" t="s">
        <v>59</v>
      </c>
      <c r="G32" s="99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7.399999999999999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30"/>
    </row>
    <row r="34" spans="1:18" ht="22.05" customHeight="1" x14ac:dyDescent="0.3">
      <c r="A34" s="100" t="s">
        <v>6</v>
      </c>
      <c r="B34" s="101"/>
      <c r="C34" s="101"/>
      <c r="D34" s="101"/>
      <c r="E34" s="101"/>
      <c r="F34" s="102"/>
      <c r="G34" s="3">
        <v>45993</v>
      </c>
      <c r="H34" s="100" t="s">
        <v>7</v>
      </c>
      <c r="I34" s="101"/>
      <c r="J34" s="101"/>
      <c r="K34" s="101"/>
      <c r="L34" s="101"/>
      <c r="M34" s="101"/>
      <c r="N34" s="101"/>
      <c r="O34" s="101"/>
      <c r="P34" s="101"/>
      <c r="Q34" s="101"/>
      <c r="R34" s="102"/>
    </row>
    <row r="35" spans="1:18" ht="24" customHeight="1" x14ac:dyDescent="0.3">
      <c r="A35" s="4" t="s">
        <v>8</v>
      </c>
      <c r="B35" s="4" t="s">
        <v>9</v>
      </c>
      <c r="C35" s="4" t="s">
        <v>10</v>
      </c>
      <c r="D35" s="4" t="s">
        <v>11</v>
      </c>
      <c r="E35" s="4" t="s">
        <v>12</v>
      </c>
      <c r="F35" s="5" t="s">
        <v>13</v>
      </c>
      <c r="G35" s="6" t="s">
        <v>14</v>
      </c>
      <c r="H35" s="4" t="s">
        <v>15</v>
      </c>
      <c r="I35" s="4" t="s">
        <v>16</v>
      </c>
      <c r="J35" s="4" t="s">
        <v>17</v>
      </c>
      <c r="K35" s="4" t="s">
        <v>18</v>
      </c>
      <c r="L35" s="4" t="s">
        <v>19</v>
      </c>
      <c r="M35" s="4" t="s">
        <v>20</v>
      </c>
      <c r="N35" s="4" t="s">
        <v>21</v>
      </c>
      <c r="O35" s="4" t="s">
        <v>22</v>
      </c>
      <c r="P35" s="4" t="s">
        <v>23</v>
      </c>
      <c r="Q35" s="4" t="s">
        <v>24</v>
      </c>
      <c r="R35" s="4" t="s">
        <v>25</v>
      </c>
    </row>
    <row r="36" spans="1:18" ht="49.95" customHeight="1" x14ac:dyDescent="0.3">
      <c r="A36" s="7" t="s">
        <v>26</v>
      </c>
      <c r="B36" s="7" t="s">
        <v>27</v>
      </c>
      <c r="C36" s="7">
        <v>0.95833333333333337</v>
      </c>
      <c r="D36" s="7" t="s">
        <v>28</v>
      </c>
      <c r="E36" s="7" t="s">
        <v>39</v>
      </c>
      <c r="F36" s="7" t="s">
        <v>55</v>
      </c>
      <c r="G36" s="99"/>
      <c r="H36" s="8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 ht="17.399999999999999" customHeight="1" x14ac:dyDescent="0.3">
      <c r="A37" s="128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30"/>
    </row>
    <row r="38" spans="1:18" ht="17.399999999999999" customHeight="1" x14ac:dyDescent="0.3">
      <c r="A38" s="128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30"/>
    </row>
    <row r="39" spans="1:18" ht="22.05" customHeight="1" x14ac:dyDescent="0.3">
      <c r="A39" s="100" t="s">
        <v>6</v>
      </c>
      <c r="B39" s="101"/>
      <c r="C39" s="101"/>
      <c r="D39" s="101"/>
      <c r="E39" s="101"/>
      <c r="F39" s="102"/>
      <c r="G39" s="3">
        <v>45995</v>
      </c>
      <c r="H39" s="100" t="s">
        <v>7</v>
      </c>
      <c r="I39" s="101"/>
      <c r="J39" s="101"/>
      <c r="K39" s="101"/>
      <c r="L39" s="101"/>
      <c r="M39" s="101"/>
      <c r="N39" s="101"/>
      <c r="O39" s="101"/>
      <c r="P39" s="101"/>
      <c r="Q39" s="101"/>
      <c r="R39" s="102"/>
    </row>
    <row r="40" spans="1:18" ht="24" customHeight="1" x14ac:dyDescent="0.3">
      <c r="A40" s="4" t="s">
        <v>8</v>
      </c>
      <c r="B40" s="4" t="s">
        <v>9</v>
      </c>
      <c r="C40" s="4" t="s">
        <v>10</v>
      </c>
      <c r="D40" s="4" t="s">
        <v>11</v>
      </c>
      <c r="E40" s="4" t="s">
        <v>12</v>
      </c>
      <c r="F40" s="5" t="s">
        <v>13</v>
      </c>
      <c r="G40" s="6" t="s">
        <v>14</v>
      </c>
      <c r="H40" s="4" t="s">
        <v>15</v>
      </c>
      <c r="I40" s="4" t="s">
        <v>16</v>
      </c>
      <c r="J40" s="4" t="s">
        <v>17</v>
      </c>
      <c r="K40" s="4" t="s">
        <v>18</v>
      </c>
      <c r="L40" s="4" t="s">
        <v>19</v>
      </c>
      <c r="M40" s="4" t="s">
        <v>20</v>
      </c>
      <c r="N40" s="4" t="s">
        <v>21</v>
      </c>
      <c r="O40" s="4" t="s">
        <v>22</v>
      </c>
      <c r="P40" s="4" t="s">
        <v>23</v>
      </c>
      <c r="Q40" s="4" t="s">
        <v>24</v>
      </c>
      <c r="R40" s="4" t="s">
        <v>25</v>
      </c>
    </row>
    <row r="41" spans="1:18" ht="49.95" customHeight="1" x14ac:dyDescent="0.3">
      <c r="A41" s="36" t="s">
        <v>31</v>
      </c>
      <c r="B41" s="36" t="s">
        <v>32</v>
      </c>
      <c r="C41" s="36">
        <v>4.5138888888888888E-2</v>
      </c>
      <c r="D41" s="36" t="s">
        <v>28</v>
      </c>
      <c r="E41" s="36" t="s">
        <v>39</v>
      </c>
      <c r="F41" s="36" t="s">
        <v>34</v>
      </c>
      <c r="G41" s="99"/>
      <c r="H41" s="37" t="s">
        <v>35</v>
      </c>
      <c r="I41" s="38">
        <v>0.1845</v>
      </c>
      <c r="J41" s="39">
        <v>31</v>
      </c>
      <c r="K41" s="40" t="s">
        <v>36</v>
      </c>
      <c r="L41" s="39">
        <v>14</v>
      </c>
      <c r="M41" s="39">
        <v>3</v>
      </c>
      <c r="N41" s="39">
        <v>1</v>
      </c>
      <c r="O41" s="40" t="s">
        <v>43</v>
      </c>
      <c r="P41" s="40">
        <v>4.5138888888888888E-2</v>
      </c>
      <c r="Q41" s="39">
        <v>168</v>
      </c>
      <c r="R41" s="41" t="s">
        <v>60</v>
      </c>
    </row>
    <row r="42" spans="1:18" ht="49.95" customHeight="1" x14ac:dyDescent="0.3">
      <c r="A42" s="17" t="s">
        <v>26</v>
      </c>
      <c r="B42" s="17" t="s">
        <v>27</v>
      </c>
      <c r="C42" s="17">
        <v>0.95833333333333337</v>
      </c>
      <c r="D42" s="17" t="s">
        <v>28</v>
      </c>
      <c r="E42" s="17" t="s">
        <v>61</v>
      </c>
      <c r="F42" s="17" t="s">
        <v>62</v>
      </c>
      <c r="G42" s="99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7.399999999999999" customHeight="1" x14ac:dyDescent="0.3">
      <c r="A43" s="128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30"/>
    </row>
    <row r="44" spans="1:18" ht="22.05" customHeight="1" x14ac:dyDescent="0.3">
      <c r="A44" s="100" t="s">
        <v>6</v>
      </c>
      <c r="B44" s="101"/>
      <c r="C44" s="101"/>
      <c r="D44" s="101"/>
      <c r="E44" s="101"/>
      <c r="F44" s="102"/>
      <c r="G44" s="3">
        <v>45996</v>
      </c>
      <c r="H44" s="100" t="s">
        <v>7</v>
      </c>
      <c r="I44" s="101"/>
      <c r="J44" s="101"/>
      <c r="K44" s="101"/>
      <c r="L44" s="101"/>
      <c r="M44" s="101"/>
      <c r="N44" s="101"/>
      <c r="O44" s="101"/>
      <c r="P44" s="101"/>
      <c r="Q44" s="101"/>
      <c r="R44" s="102"/>
    </row>
    <row r="45" spans="1:18" ht="24" customHeight="1" x14ac:dyDescent="0.3">
      <c r="A45" s="4" t="s">
        <v>8</v>
      </c>
      <c r="B45" s="4" t="s">
        <v>9</v>
      </c>
      <c r="C45" s="4" t="s">
        <v>10</v>
      </c>
      <c r="D45" s="4" t="s">
        <v>11</v>
      </c>
      <c r="E45" s="4" t="s">
        <v>12</v>
      </c>
      <c r="F45" s="5" t="s">
        <v>13</v>
      </c>
      <c r="G45" s="6" t="s">
        <v>14</v>
      </c>
      <c r="H45" s="4" t="s">
        <v>15</v>
      </c>
      <c r="I45" s="4" t="s">
        <v>16</v>
      </c>
      <c r="J45" s="4" t="s">
        <v>17</v>
      </c>
      <c r="K45" s="4" t="s">
        <v>18</v>
      </c>
      <c r="L45" s="4" t="s">
        <v>19</v>
      </c>
      <c r="M45" s="4" t="s">
        <v>20</v>
      </c>
      <c r="N45" s="4" t="s">
        <v>21</v>
      </c>
      <c r="O45" s="4" t="s">
        <v>22</v>
      </c>
      <c r="P45" s="4" t="s">
        <v>23</v>
      </c>
      <c r="Q45" s="4" t="s">
        <v>24</v>
      </c>
      <c r="R45" s="4" t="s">
        <v>25</v>
      </c>
    </row>
    <row r="46" spans="1:18" ht="49.95" customHeight="1" x14ac:dyDescent="0.3">
      <c r="A46" s="18" t="s">
        <v>31</v>
      </c>
      <c r="B46" s="18" t="s">
        <v>41</v>
      </c>
      <c r="C46" s="18">
        <v>3.472222222222222E-3</v>
      </c>
      <c r="D46" s="18" t="s">
        <v>28</v>
      </c>
      <c r="E46" s="18" t="s">
        <v>63</v>
      </c>
      <c r="F46" s="18" t="s">
        <v>64</v>
      </c>
      <c r="G46" s="99"/>
      <c r="H46" s="31" t="s">
        <v>42</v>
      </c>
      <c r="I46" s="32">
        <v>0.34520000000000001</v>
      </c>
      <c r="J46" s="33">
        <v>58</v>
      </c>
      <c r="K46" s="34" t="s">
        <v>36</v>
      </c>
      <c r="L46" s="33">
        <v>24</v>
      </c>
      <c r="M46" s="33">
        <v>5</v>
      </c>
      <c r="N46" s="33">
        <v>1</v>
      </c>
      <c r="O46" s="34" t="s">
        <v>65</v>
      </c>
      <c r="P46" s="34">
        <v>3.472222222222222E-3</v>
      </c>
      <c r="Q46" s="33">
        <v>168</v>
      </c>
      <c r="R46" s="35" t="s">
        <v>66</v>
      </c>
    </row>
    <row r="47" spans="1:18" ht="17.399999999999999" customHeight="1" x14ac:dyDescent="0.3">
      <c r="A47" s="128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30"/>
    </row>
    <row r="48" spans="1:18" ht="22.05" customHeight="1" x14ac:dyDescent="0.3">
      <c r="A48" s="100" t="s">
        <v>6</v>
      </c>
      <c r="B48" s="101"/>
      <c r="C48" s="101"/>
      <c r="D48" s="101"/>
      <c r="E48" s="101"/>
      <c r="F48" s="102"/>
      <c r="G48" s="3">
        <v>45997</v>
      </c>
      <c r="H48" s="100" t="s">
        <v>7</v>
      </c>
      <c r="I48" s="101"/>
      <c r="J48" s="101"/>
      <c r="K48" s="101"/>
      <c r="L48" s="101"/>
      <c r="M48" s="101"/>
      <c r="N48" s="101"/>
      <c r="O48" s="101"/>
      <c r="P48" s="101"/>
      <c r="Q48" s="101"/>
      <c r="R48" s="102"/>
    </row>
    <row r="49" spans="1:18" ht="24" customHeight="1" x14ac:dyDescent="0.3">
      <c r="A49" s="4" t="s">
        <v>8</v>
      </c>
      <c r="B49" s="4" t="s">
        <v>9</v>
      </c>
      <c r="C49" s="4" t="s">
        <v>10</v>
      </c>
      <c r="D49" s="4" t="s">
        <v>11</v>
      </c>
      <c r="E49" s="4" t="s">
        <v>12</v>
      </c>
      <c r="F49" s="5" t="s">
        <v>13</v>
      </c>
      <c r="G49" s="6" t="s">
        <v>14</v>
      </c>
      <c r="H49" s="4" t="s">
        <v>15</v>
      </c>
      <c r="I49" s="4" t="s">
        <v>16</v>
      </c>
      <c r="J49" s="4" t="s">
        <v>17</v>
      </c>
      <c r="K49" s="4" t="s">
        <v>18</v>
      </c>
      <c r="L49" s="4" t="s">
        <v>19</v>
      </c>
      <c r="M49" s="4" t="s">
        <v>20</v>
      </c>
      <c r="N49" s="4" t="s">
        <v>21</v>
      </c>
      <c r="O49" s="4" t="s">
        <v>22</v>
      </c>
      <c r="P49" s="4" t="s">
        <v>23</v>
      </c>
      <c r="Q49" s="4" t="s">
        <v>24</v>
      </c>
      <c r="R49" s="4" t="s">
        <v>25</v>
      </c>
    </row>
    <row r="50" spans="1:18" ht="49.95" customHeight="1" x14ac:dyDescent="0.3">
      <c r="A50" s="7" t="s">
        <v>26</v>
      </c>
      <c r="B50" s="7" t="s">
        <v>53</v>
      </c>
      <c r="C50" s="7">
        <v>0.19791666666666671</v>
      </c>
      <c r="D50" s="7" t="s">
        <v>28</v>
      </c>
      <c r="E50" s="7" t="s">
        <v>33</v>
      </c>
      <c r="F50" s="7" t="s">
        <v>40</v>
      </c>
      <c r="G50" s="99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7.399999999999999" customHeight="1" x14ac:dyDescent="0.3">
      <c r="A51" s="128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30"/>
    </row>
    <row r="52" spans="1:18" ht="22.05" customHeight="1" x14ac:dyDescent="0.3">
      <c r="A52" s="100" t="s">
        <v>6</v>
      </c>
      <c r="B52" s="101"/>
      <c r="C52" s="101"/>
      <c r="D52" s="101"/>
      <c r="E52" s="101"/>
      <c r="F52" s="102"/>
      <c r="G52" s="3">
        <v>45998</v>
      </c>
      <c r="H52" s="100" t="s">
        <v>7</v>
      </c>
      <c r="I52" s="101"/>
      <c r="J52" s="101"/>
      <c r="K52" s="101"/>
      <c r="L52" s="101"/>
      <c r="M52" s="101"/>
      <c r="N52" s="101"/>
      <c r="O52" s="101"/>
      <c r="P52" s="101"/>
      <c r="Q52" s="101"/>
      <c r="R52" s="102"/>
    </row>
    <row r="53" spans="1:18" ht="24" customHeight="1" x14ac:dyDescent="0.3">
      <c r="A53" s="4" t="s">
        <v>8</v>
      </c>
      <c r="B53" s="4" t="s">
        <v>9</v>
      </c>
      <c r="C53" s="4" t="s">
        <v>10</v>
      </c>
      <c r="D53" s="4" t="s">
        <v>11</v>
      </c>
      <c r="E53" s="4" t="s">
        <v>12</v>
      </c>
      <c r="F53" s="5" t="s">
        <v>13</v>
      </c>
      <c r="G53" s="6" t="s">
        <v>14</v>
      </c>
      <c r="H53" s="4" t="s">
        <v>15</v>
      </c>
      <c r="I53" s="4" t="s">
        <v>16</v>
      </c>
      <c r="J53" s="4" t="s">
        <v>17</v>
      </c>
      <c r="K53" s="4" t="s">
        <v>18</v>
      </c>
      <c r="L53" s="4" t="s">
        <v>19</v>
      </c>
      <c r="M53" s="4" t="s">
        <v>20</v>
      </c>
      <c r="N53" s="4" t="s">
        <v>21</v>
      </c>
      <c r="O53" s="4" t="s">
        <v>22</v>
      </c>
      <c r="P53" s="4" t="s">
        <v>23</v>
      </c>
      <c r="Q53" s="4" t="s">
        <v>24</v>
      </c>
      <c r="R53" s="4" t="s">
        <v>25</v>
      </c>
    </row>
    <row r="54" spans="1:18" ht="49.95" customHeight="1" x14ac:dyDescent="0.3">
      <c r="A54" s="29" t="s">
        <v>45</v>
      </c>
      <c r="B54" s="29" t="s">
        <v>46</v>
      </c>
      <c r="C54" s="29">
        <v>0.99652777777777779</v>
      </c>
      <c r="D54" s="29" t="s">
        <v>47</v>
      </c>
      <c r="E54" s="29" t="s">
        <v>48</v>
      </c>
      <c r="F54" s="29" t="s">
        <v>67</v>
      </c>
      <c r="G54" s="99"/>
      <c r="H54" s="25"/>
      <c r="I54" s="26"/>
      <c r="J54" s="26"/>
      <c r="K54" s="26"/>
      <c r="L54" s="26"/>
      <c r="M54" s="26"/>
      <c r="N54" s="26"/>
      <c r="O54" s="26"/>
      <c r="P54" s="26"/>
      <c r="Q54" s="26"/>
      <c r="R54" s="27"/>
    </row>
    <row r="55" spans="1:18" ht="49.95" customHeight="1" x14ac:dyDescent="0.3">
      <c r="A55" s="42" t="s">
        <v>45</v>
      </c>
      <c r="B55" s="42" t="s">
        <v>46</v>
      </c>
      <c r="C55" s="42">
        <v>0.99652777777777779</v>
      </c>
      <c r="D55" s="42" t="s">
        <v>50</v>
      </c>
      <c r="E55" s="42" t="s">
        <v>51</v>
      </c>
      <c r="F55" s="42" t="s">
        <v>68</v>
      </c>
      <c r="G55" s="99"/>
      <c r="H55" s="25"/>
      <c r="I55" s="26"/>
      <c r="J55" s="26"/>
      <c r="K55" s="26"/>
      <c r="L55" s="26"/>
      <c r="M55" s="26"/>
      <c r="N55" s="26"/>
      <c r="O55" s="26"/>
      <c r="P55" s="26"/>
      <c r="Q55" s="26"/>
      <c r="R55" s="27"/>
    </row>
    <row r="56" spans="1:18" ht="49.95" customHeight="1" x14ac:dyDescent="0.3">
      <c r="A56" s="24" t="s">
        <v>26</v>
      </c>
      <c r="B56" s="24" t="s">
        <v>27</v>
      </c>
      <c r="C56" s="24">
        <v>0.91666666666666663</v>
      </c>
      <c r="D56" s="24" t="s">
        <v>28</v>
      </c>
      <c r="E56" s="24" t="s">
        <v>69</v>
      </c>
      <c r="F56" s="24" t="s">
        <v>55</v>
      </c>
      <c r="G56" s="99"/>
      <c r="H56" s="25"/>
      <c r="I56" s="26"/>
      <c r="J56" s="26"/>
      <c r="K56" s="26"/>
      <c r="L56" s="26"/>
      <c r="M56" s="26"/>
      <c r="N56" s="26"/>
      <c r="O56" s="26"/>
      <c r="P56" s="26"/>
      <c r="Q56" s="26"/>
      <c r="R56" s="27"/>
    </row>
    <row r="57" spans="1:18" ht="49.95" customHeight="1" x14ac:dyDescent="0.3">
      <c r="A57" s="43" t="s">
        <v>31</v>
      </c>
      <c r="B57" s="43" t="s">
        <v>41</v>
      </c>
      <c r="C57" s="43">
        <v>3.472222222222222E-3</v>
      </c>
      <c r="D57" s="43" t="s">
        <v>28</v>
      </c>
      <c r="E57" s="43" t="s">
        <v>39</v>
      </c>
      <c r="F57" s="43" t="s">
        <v>34</v>
      </c>
      <c r="G57" s="99"/>
      <c r="H57" s="44" t="s">
        <v>42</v>
      </c>
      <c r="I57" s="45">
        <v>0.11899999999999999</v>
      </c>
      <c r="J57" s="46">
        <v>20</v>
      </c>
      <c r="K57" s="47" t="s">
        <v>70</v>
      </c>
      <c r="L57" s="46">
        <v>0</v>
      </c>
      <c r="M57" s="46">
        <v>0</v>
      </c>
      <c r="N57" s="46">
        <v>0</v>
      </c>
      <c r="O57" s="47" t="s">
        <v>43</v>
      </c>
      <c r="P57" s="47">
        <v>3.472222222222222E-3</v>
      </c>
      <c r="Q57" s="46">
        <v>168</v>
      </c>
      <c r="R57" s="48" t="s">
        <v>71</v>
      </c>
    </row>
    <row r="58" spans="1:18" ht="17.399999999999999" customHeight="1" x14ac:dyDescent="0.3">
      <c r="A58" s="128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30"/>
    </row>
    <row r="59" spans="1:18" ht="22.05" customHeight="1" x14ac:dyDescent="0.3">
      <c r="A59" s="100" t="s">
        <v>6</v>
      </c>
      <c r="B59" s="101"/>
      <c r="C59" s="101"/>
      <c r="D59" s="101"/>
      <c r="E59" s="101"/>
      <c r="F59" s="102"/>
      <c r="G59" s="3">
        <v>45999</v>
      </c>
      <c r="H59" s="100" t="s">
        <v>7</v>
      </c>
      <c r="I59" s="101"/>
      <c r="J59" s="101"/>
      <c r="K59" s="101"/>
      <c r="L59" s="101"/>
      <c r="M59" s="101"/>
      <c r="N59" s="101"/>
      <c r="O59" s="101"/>
      <c r="P59" s="101"/>
      <c r="Q59" s="101"/>
      <c r="R59" s="102"/>
    </row>
    <row r="60" spans="1:18" ht="24" customHeight="1" x14ac:dyDescent="0.3">
      <c r="A60" s="4" t="s">
        <v>8</v>
      </c>
      <c r="B60" s="4" t="s">
        <v>9</v>
      </c>
      <c r="C60" s="4" t="s">
        <v>10</v>
      </c>
      <c r="D60" s="4" t="s">
        <v>11</v>
      </c>
      <c r="E60" s="4" t="s">
        <v>12</v>
      </c>
      <c r="F60" s="5" t="s">
        <v>13</v>
      </c>
      <c r="G60" s="6" t="s">
        <v>14</v>
      </c>
      <c r="H60" s="4" t="s">
        <v>15</v>
      </c>
      <c r="I60" s="4" t="s">
        <v>16</v>
      </c>
      <c r="J60" s="4" t="s">
        <v>17</v>
      </c>
      <c r="K60" s="4" t="s">
        <v>18</v>
      </c>
      <c r="L60" s="4" t="s">
        <v>19</v>
      </c>
      <c r="M60" s="4" t="s">
        <v>20</v>
      </c>
      <c r="N60" s="4" t="s">
        <v>21</v>
      </c>
      <c r="O60" s="4" t="s">
        <v>22</v>
      </c>
      <c r="P60" s="4" t="s">
        <v>23</v>
      </c>
      <c r="Q60" s="4" t="s">
        <v>24</v>
      </c>
      <c r="R60" s="4" t="s">
        <v>25</v>
      </c>
    </row>
    <row r="61" spans="1:18" ht="49.95" customHeight="1" x14ac:dyDescent="0.3">
      <c r="A61" s="29" t="s">
        <v>45</v>
      </c>
      <c r="B61" s="29" t="s">
        <v>57</v>
      </c>
      <c r="C61" s="29">
        <v>0.21875</v>
      </c>
      <c r="D61" s="29" t="s">
        <v>47</v>
      </c>
      <c r="E61" s="29" t="s">
        <v>48</v>
      </c>
      <c r="F61" s="29" t="s">
        <v>58</v>
      </c>
      <c r="G61" s="99"/>
      <c r="H61" s="25"/>
      <c r="I61" s="26"/>
      <c r="J61" s="26"/>
      <c r="K61" s="26"/>
      <c r="L61" s="26"/>
      <c r="M61" s="26"/>
      <c r="N61" s="26"/>
      <c r="O61" s="26"/>
      <c r="P61" s="26"/>
      <c r="Q61" s="26"/>
      <c r="R61" s="27"/>
    </row>
    <row r="62" spans="1:18" ht="49.95" customHeight="1" x14ac:dyDescent="0.3">
      <c r="A62" s="28" t="s">
        <v>45</v>
      </c>
      <c r="B62" s="28" t="s">
        <v>57</v>
      </c>
      <c r="C62" s="28">
        <v>0.21875</v>
      </c>
      <c r="D62" s="28" t="s">
        <v>50</v>
      </c>
      <c r="E62" s="28" t="s">
        <v>51</v>
      </c>
      <c r="F62" s="28" t="s">
        <v>59</v>
      </c>
      <c r="G62" s="99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7.399999999999999" customHeight="1" x14ac:dyDescent="0.3">
      <c r="A63" s="128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30"/>
    </row>
    <row r="64" spans="1:18" ht="22.05" customHeight="1" x14ac:dyDescent="0.3">
      <c r="A64" s="100" t="s">
        <v>6</v>
      </c>
      <c r="B64" s="101"/>
      <c r="C64" s="101"/>
      <c r="D64" s="101"/>
      <c r="E64" s="101"/>
      <c r="F64" s="102"/>
      <c r="G64" s="3">
        <v>46000</v>
      </c>
      <c r="H64" s="100" t="s">
        <v>7</v>
      </c>
      <c r="I64" s="101"/>
      <c r="J64" s="101"/>
      <c r="K64" s="101"/>
      <c r="L64" s="101"/>
      <c r="M64" s="101"/>
      <c r="N64" s="101"/>
      <c r="O64" s="101"/>
      <c r="P64" s="101"/>
      <c r="Q64" s="101"/>
      <c r="R64" s="102"/>
    </row>
    <row r="65" spans="1:18" ht="24" customHeight="1" x14ac:dyDescent="0.3">
      <c r="A65" s="4" t="s">
        <v>8</v>
      </c>
      <c r="B65" s="4" t="s">
        <v>9</v>
      </c>
      <c r="C65" s="4" t="s">
        <v>10</v>
      </c>
      <c r="D65" s="4" t="s">
        <v>11</v>
      </c>
      <c r="E65" s="4" t="s">
        <v>12</v>
      </c>
      <c r="F65" s="5" t="s">
        <v>13</v>
      </c>
      <c r="G65" s="6" t="s">
        <v>14</v>
      </c>
      <c r="H65" s="4" t="s">
        <v>15</v>
      </c>
      <c r="I65" s="4" t="s">
        <v>16</v>
      </c>
      <c r="J65" s="4" t="s">
        <v>17</v>
      </c>
      <c r="K65" s="4" t="s">
        <v>18</v>
      </c>
      <c r="L65" s="4" t="s">
        <v>19</v>
      </c>
      <c r="M65" s="4" t="s">
        <v>20</v>
      </c>
      <c r="N65" s="4" t="s">
        <v>21</v>
      </c>
      <c r="O65" s="4" t="s">
        <v>22</v>
      </c>
      <c r="P65" s="4" t="s">
        <v>23</v>
      </c>
      <c r="Q65" s="4" t="s">
        <v>24</v>
      </c>
      <c r="R65" s="4" t="s">
        <v>25</v>
      </c>
    </row>
    <row r="66" spans="1:18" ht="49.95" customHeight="1" x14ac:dyDescent="0.3">
      <c r="A66" s="29" t="s">
        <v>45</v>
      </c>
      <c r="B66" s="29" t="s">
        <v>46</v>
      </c>
      <c r="C66" s="29">
        <v>0.2951388888888889</v>
      </c>
      <c r="D66" s="29" t="s">
        <v>47</v>
      </c>
      <c r="E66" s="29" t="s">
        <v>48</v>
      </c>
      <c r="F66" s="29" t="s">
        <v>58</v>
      </c>
      <c r="G66" s="99"/>
      <c r="H66" s="25"/>
      <c r="I66" s="26"/>
      <c r="J66" s="26"/>
      <c r="K66" s="26"/>
      <c r="L66" s="26"/>
      <c r="M66" s="26"/>
      <c r="N66" s="26"/>
      <c r="O66" s="26"/>
      <c r="P66" s="26"/>
      <c r="Q66" s="26"/>
      <c r="R66" s="27"/>
    </row>
    <row r="67" spans="1:18" ht="49.95" customHeight="1" x14ac:dyDescent="0.3">
      <c r="A67" s="42" t="s">
        <v>45</v>
      </c>
      <c r="B67" s="42" t="s">
        <v>46</v>
      </c>
      <c r="C67" s="42">
        <v>0.2951388888888889</v>
      </c>
      <c r="D67" s="42" t="s">
        <v>50</v>
      </c>
      <c r="E67" s="42" t="s">
        <v>51</v>
      </c>
      <c r="F67" s="42" t="s">
        <v>59</v>
      </c>
      <c r="G67" s="99"/>
      <c r="H67" s="25"/>
      <c r="I67" s="26"/>
      <c r="J67" s="26"/>
      <c r="K67" s="26"/>
      <c r="L67" s="26"/>
      <c r="M67" s="26"/>
      <c r="N67" s="26"/>
      <c r="O67" s="26"/>
      <c r="P67" s="26"/>
      <c r="Q67" s="26"/>
      <c r="R67" s="27"/>
    </row>
    <row r="68" spans="1:18" ht="49.95" customHeight="1" x14ac:dyDescent="0.3">
      <c r="A68" s="17" t="s">
        <v>26</v>
      </c>
      <c r="B68" s="17" t="s">
        <v>27</v>
      </c>
      <c r="C68" s="17">
        <v>0.95833333333333337</v>
      </c>
      <c r="D68" s="17" t="s">
        <v>28</v>
      </c>
      <c r="E68" s="17" t="s">
        <v>69</v>
      </c>
      <c r="F68" s="17" t="s">
        <v>55</v>
      </c>
      <c r="G68" s="99"/>
      <c r="H68" s="8"/>
      <c r="I68" s="9"/>
      <c r="J68" s="9"/>
      <c r="K68" s="9"/>
      <c r="L68" s="9"/>
      <c r="M68" s="9"/>
      <c r="N68" s="9"/>
      <c r="O68" s="9"/>
      <c r="P68" s="9"/>
      <c r="Q68" s="9"/>
      <c r="R68" s="10"/>
    </row>
    <row r="69" spans="1:18" ht="17.399999999999999" customHeight="1" x14ac:dyDescent="0.3">
      <c r="A69" s="128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30"/>
    </row>
    <row r="70" spans="1:18" ht="22.05" customHeight="1" x14ac:dyDescent="0.3">
      <c r="A70" s="100" t="s">
        <v>6</v>
      </c>
      <c r="B70" s="101"/>
      <c r="C70" s="101"/>
      <c r="D70" s="101"/>
      <c r="E70" s="101"/>
      <c r="F70" s="102"/>
      <c r="G70" s="3">
        <v>46001</v>
      </c>
      <c r="H70" s="100" t="s">
        <v>7</v>
      </c>
      <c r="I70" s="101"/>
      <c r="J70" s="101"/>
      <c r="K70" s="101"/>
      <c r="L70" s="101"/>
      <c r="M70" s="101"/>
      <c r="N70" s="101"/>
      <c r="O70" s="101"/>
      <c r="P70" s="101"/>
      <c r="Q70" s="101"/>
      <c r="R70" s="102"/>
    </row>
    <row r="71" spans="1:18" ht="24" customHeight="1" x14ac:dyDescent="0.3">
      <c r="A71" s="4" t="s">
        <v>8</v>
      </c>
      <c r="B71" s="4" t="s">
        <v>9</v>
      </c>
      <c r="C71" s="4" t="s">
        <v>10</v>
      </c>
      <c r="D71" s="4" t="s">
        <v>11</v>
      </c>
      <c r="E71" s="4" t="s">
        <v>12</v>
      </c>
      <c r="F71" s="5" t="s">
        <v>13</v>
      </c>
      <c r="G71" s="6" t="s">
        <v>14</v>
      </c>
      <c r="H71" s="4" t="s">
        <v>15</v>
      </c>
      <c r="I71" s="4" t="s">
        <v>16</v>
      </c>
      <c r="J71" s="4" t="s">
        <v>17</v>
      </c>
      <c r="K71" s="4" t="s">
        <v>18</v>
      </c>
      <c r="L71" s="4" t="s">
        <v>19</v>
      </c>
      <c r="M71" s="4" t="s">
        <v>20</v>
      </c>
      <c r="N71" s="4" t="s">
        <v>21</v>
      </c>
      <c r="O71" s="4" t="s">
        <v>22</v>
      </c>
      <c r="P71" s="4" t="s">
        <v>23</v>
      </c>
      <c r="Q71" s="4" t="s">
        <v>24</v>
      </c>
      <c r="R71" s="4" t="s">
        <v>25</v>
      </c>
    </row>
    <row r="72" spans="1:18" ht="49.95" customHeight="1" x14ac:dyDescent="0.3">
      <c r="A72" s="29" t="s">
        <v>45</v>
      </c>
      <c r="B72" s="29" t="s">
        <v>57</v>
      </c>
      <c r="C72" s="29">
        <v>0.21875</v>
      </c>
      <c r="D72" s="29" t="s">
        <v>47</v>
      </c>
      <c r="E72" s="29" t="s">
        <v>48</v>
      </c>
      <c r="F72" s="29" t="s">
        <v>58</v>
      </c>
      <c r="G72" s="99"/>
      <c r="H72" s="25"/>
      <c r="I72" s="26"/>
      <c r="J72" s="26"/>
      <c r="K72" s="26"/>
      <c r="L72" s="26"/>
      <c r="M72" s="26"/>
      <c r="N72" s="26"/>
      <c r="O72" s="26"/>
      <c r="P72" s="26"/>
      <c r="Q72" s="26"/>
      <c r="R72" s="27"/>
    </row>
    <row r="73" spans="1:18" ht="49.95" customHeight="1" x14ac:dyDescent="0.3">
      <c r="A73" s="28" t="s">
        <v>45</v>
      </c>
      <c r="B73" s="28" t="s">
        <v>57</v>
      </c>
      <c r="C73" s="28">
        <v>0.21875</v>
      </c>
      <c r="D73" s="28" t="s">
        <v>50</v>
      </c>
      <c r="E73" s="28" t="s">
        <v>51</v>
      </c>
      <c r="F73" s="28" t="s">
        <v>59</v>
      </c>
      <c r="G73" s="99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</sheetData>
  <mergeCells count="64">
    <mergeCell ref="A24:F24"/>
    <mergeCell ref="G66:G68"/>
    <mergeCell ref="G72:G73"/>
    <mergeCell ref="A51:R51"/>
    <mergeCell ref="H48:R48"/>
    <mergeCell ref="A70:F70"/>
    <mergeCell ref="H24:R24"/>
    <mergeCell ref="G31:G32"/>
    <mergeCell ref="N1:R1"/>
    <mergeCell ref="H52:R52"/>
    <mergeCell ref="H70:R70"/>
    <mergeCell ref="A52:F52"/>
    <mergeCell ref="A43:R43"/>
    <mergeCell ref="A38:R38"/>
    <mergeCell ref="A19:R19"/>
    <mergeCell ref="A44:F44"/>
    <mergeCell ref="A63:R63"/>
    <mergeCell ref="A9:F9"/>
    <mergeCell ref="A28:R28"/>
    <mergeCell ref="A13:R13"/>
    <mergeCell ref="K2:R2"/>
    <mergeCell ref="A34:F34"/>
    <mergeCell ref="A48:F48"/>
    <mergeCell ref="G41:G42"/>
    <mergeCell ref="G2:J2"/>
    <mergeCell ref="A4:F4"/>
    <mergeCell ref="A23:R23"/>
    <mergeCell ref="A20:F20"/>
    <mergeCell ref="A8:R8"/>
    <mergeCell ref="G6"/>
    <mergeCell ref="G11:G12"/>
    <mergeCell ref="H14:R14"/>
    <mergeCell ref="H1:L1"/>
    <mergeCell ref="A1:E1"/>
    <mergeCell ref="A37:R37"/>
    <mergeCell ref="G50"/>
    <mergeCell ref="H4:R4"/>
    <mergeCell ref="G46"/>
    <mergeCell ref="H44:R44"/>
    <mergeCell ref="G22"/>
    <mergeCell ref="A2:F2"/>
    <mergeCell ref="A3:R3"/>
    <mergeCell ref="H9:R9"/>
    <mergeCell ref="H39:R39"/>
    <mergeCell ref="H34:R34"/>
    <mergeCell ref="A14:F14"/>
    <mergeCell ref="A33:R33"/>
    <mergeCell ref="A47:R47"/>
    <mergeCell ref="A69:R69"/>
    <mergeCell ref="A7:R7"/>
    <mergeCell ref="G61:G62"/>
    <mergeCell ref="H20:R20"/>
    <mergeCell ref="H29:R29"/>
    <mergeCell ref="G16:G18"/>
    <mergeCell ref="H64:R64"/>
    <mergeCell ref="H59:R59"/>
    <mergeCell ref="G36"/>
    <mergeCell ref="A29:F29"/>
    <mergeCell ref="G54:G57"/>
    <mergeCell ref="A39:F39"/>
    <mergeCell ref="A58:R58"/>
    <mergeCell ref="A64:F64"/>
    <mergeCell ref="G26:G27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9.88671875" style="115" bestFit="1" customWidth="1"/>
    <col min="2" max="2" width="10.44140625" style="115" bestFit="1" customWidth="1"/>
    <col min="3" max="3" width="6.77734375" style="115" bestFit="1" customWidth="1"/>
    <col min="4" max="4" width="5.5546875" style="115" bestFit="1" customWidth="1"/>
    <col min="5" max="5" width="8.109375" style="115" bestFit="1" customWidth="1"/>
    <col min="6" max="6" width="4.21875" style="115" bestFit="1" customWidth="1"/>
    <col min="7" max="7" width="10" style="115" bestFit="1" customWidth="1"/>
    <col min="8" max="8" width="8.5546875" style="115" bestFit="1" customWidth="1"/>
    <col min="9" max="10" width="7" style="115" bestFit="1" customWidth="1"/>
    <col min="11" max="11" width="10.5546875" style="115" bestFit="1" customWidth="1"/>
    <col min="12" max="12" width="18.109375" style="115" bestFit="1" customWidth="1"/>
    <col min="13" max="13" width="7.6640625" style="115" bestFit="1" customWidth="1" outlineLevel="1"/>
    <col min="14" max="14" width="6.33203125" style="115" bestFit="1" customWidth="1" outlineLevel="1"/>
    <col min="15" max="15" width="8" style="115" bestFit="1" customWidth="1" outlineLevel="1"/>
    <col min="16" max="16" width="13.6640625" style="115" bestFit="1" customWidth="1"/>
    <col min="17" max="26" width="3.88671875" style="115" bestFit="1" customWidth="1"/>
    <col min="27" max="27" width="4" style="115" bestFit="1" customWidth="1"/>
    <col min="28" max="28" width="3.88671875" style="115" bestFit="1" customWidth="1"/>
    <col min="29" max="29" width="4.21875" style="115" bestFit="1" customWidth="1"/>
    <col min="30" max="31" width="4.5546875" style="115" bestFit="1" customWidth="1"/>
    <col min="32" max="36" width="3.88671875" style="115" bestFit="1" customWidth="1"/>
    <col min="37" max="16384" width="8.88671875" style="115"/>
  </cols>
  <sheetData>
    <row r="1" spans="1:36" x14ac:dyDescent="0.3">
      <c r="A1" s="114" t="s">
        <v>72</v>
      </c>
      <c r="B1" s="114" t="s">
        <v>73</v>
      </c>
      <c r="C1" s="114" t="s">
        <v>74</v>
      </c>
      <c r="D1" s="114" t="s">
        <v>23</v>
      </c>
      <c r="E1" s="114" t="s">
        <v>75</v>
      </c>
      <c r="F1" s="114" t="s">
        <v>76</v>
      </c>
      <c r="G1" s="114" t="s">
        <v>16</v>
      </c>
      <c r="H1" s="114" t="s">
        <v>77</v>
      </c>
      <c r="I1" s="114" t="s">
        <v>78</v>
      </c>
      <c r="J1" s="114" t="s">
        <v>79</v>
      </c>
      <c r="K1" s="114" t="s">
        <v>80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81</v>
      </c>
      <c r="R1" s="114" t="s">
        <v>82</v>
      </c>
      <c r="S1" s="114" t="s">
        <v>83</v>
      </c>
      <c r="T1" s="114" t="s">
        <v>84</v>
      </c>
      <c r="U1" s="114" t="s">
        <v>85</v>
      </c>
      <c r="V1" s="114" t="s">
        <v>86</v>
      </c>
      <c r="W1" s="114" t="s">
        <v>87</v>
      </c>
      <c r="X1" s="114" t="s">
        <v>88</v>
      </c>
      <c r="Y1" s="114" t="s">
        <v>89</v>
      </c>
      <c r="Z1" s="114" t="s">
        <v>90</v>
      </c>
      <c r="AA1" s="114" t="s">
        <v>91</v>
      </c>
      <c r="AB1" s="114" t="s">
        <v>92</v>
      </c>
      <c r="AC1" s="114" t="s">
        <v>93</v>
      </c>
      <c r="AD1" s="114" t="s">
        <v>94</v>
      </c>
      <c r="AE1" s="114" t="s">
        <v>95</v>
      </c>
      <c r="AF1" s="114" t="s">
        <v>96</v>
      </c>
      <c r="AG1" s="114" t="s">
        <v>97</v>
      </c>
      <c r="AH1" s="114" t="s">
        <v>98</v>
      </c>
      <c r="AI1" s="114" t="s">
        <v>99</v>
      </c>
      <c r="AJ1" s="114" t="s">
        <v>100</v>
      </c>
    </row>
    <row r="2" spans="1:36" x14ac:dyDescent="0.3">
      <c r="A2" s="116" t="s">
        <v>101</v>
      </c>
      <c r="B2" s="117">
        <v>45988</v>
      </c>
      <c r="C2" s="118" t="s">
        <v>35</v>
      </c>
      <c r="D2" s="119" t="s">
        <v>102</v>
      </c>
      <c r="E2" s="118" t="s">
        <v>1</v>
      </c>
      <c r="F2" s="118" t="s">
        <v>103</v>
      </c>
      <c r="G2" s="120">
        <v>0.45240000000000002</v>
      </c>
      <c r="H2" s="121">
        <v>168</v>
      </c>
      <c r="I2" s="121">
        <v>76</v>
      </c>
      <c r="J2" s="121">
        <v>0</v>
      </c>
      <c r="K2" s="118" t="s">
        <v>104</v>
      </c>
      <c r="L2" s="122" t="s">
        <v>36</v>
      </c>
      <c r="M2" s="121">
        <v>13</v>
      </c>
      <c r="N2" s="121">
        <v>6</v>
      </c>
      <c r="O2" s="121">
        <v>55</v>
      </c>
      <c r="P2" s="118" t="s">
        <v>37</v>
      </c>
      <c r="Q2" s="114"/>
      <c r="R2" s="114"/>
      <c r="S2" s="114"/>
      <c r="T2" s="114"/>
      <c r="U2" s="114"/>
      <c r="V2" s="114"/>
      <c r="W2" s="114"/>
      <c r="X2" s="114"/>
      <c r="Y2" s="114"/>
      <c r="Z2" s="121" t="s">
        <v>105</v>
      </c>
      <c r="AA2" s="121" t="s">
        <v>106</v>
      </c>
      <c r="AB2" s="121" t="s">
        <v>107</v>
      </c>
      <c r="AC2" s="121" t="s">
        <v>108</v>
      </c>
      <c r="AD2" s="114"/>
      <c r="AE2" s="121" t="s">
        <v>109</v>
      </c>
      <c r="AF2" s="114"/>
      <c r="AG2" s="114"/>
      <c r="AH2" s="114"/>
      <c r="AI2" s="114"/>
      <c r="AJ2" s="114"/>
    </row>
    <row r="3" spans="1:36" x14ac:dyDescent="0.3">
      <c r="A3" s="116" t="s">
        <v>110</v>
      </c>
      <c r="B3" s="117">
        <v>45989</v>
      </c>
      <c r="C3" s="118" t="s">
        <v>42</v>
      </c>
      <c r="D3" s="119" t="s">
        <v>111</v>
      </c>
      <c r="E3" s="118" t="s">
        <v>1</v>
      </c>
      <c r="F3" s="118" t="s">
        <v>103</v>
      </c>
      <c r="G3" s="120">
        <v>0.41070000000000001</v>
      </c>
      <c r="H3" s="121">
        <v>168</v>
      </c>
      <c r="I3" s="121">
        <v>69</v>
      </c>
      <c r="J3" s="121">
        <v>0</v>
      </c>
      <c r="K3" s="118" t="s">
        <v>104</v>
      </c>
      <c r="L3" s="122" t="s">
        <v>36</v>
      </c>
      <c r="M3" s="121">
        <v>3</v>
      </c>
      <c r="N3" s="121">
        <v>5</v>
      </c>
      <c r="O3" s="121">
        <v>33</v>
      </c>
      <c r="P3" s="118" t="s">
        <v>43</v>
      </c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21" t="s">
        <v>112</v>
      </c>
      <c r="AB3" s="121" t="s">
        <v>113</v>
      </c>
      <c r="AC3" s="121" t="s">
        <v>114</v>
      </c>
      <c r="AD3" s="121" t="s">
        <v>115</v>
      </c>
      <c r="AE3" s="121" t="s">
        <v>116</v>
      </c>
      <c r="AF3" s="114"/>
      <c r="AG3" s="114"/>
      <c r="AH3" s="114"/>
      <c r="AI3" s="114"/>
      <c r="AJ3" s="114"/>
    </row>
    <row r="4" spans="1:36" x14ac:dyDescent="0.3">
      <c r="A4" s="116" t="s">
        <v>117</v>
      </c>
      <c r="B4" s="117">
        <v>45991</v>
      </c>
      <c r="C4" s="118" t="s">
        <v>42</v>
      </c>
      <c r="D4" s="119" t="s">
        <v>111</v>
      </c>
      <c r="E4" s="118" t="s">
        <v>1</v>
      </c>
      <c r="F4" s="118" t="s">
        <v>103</v>
      </c>
      <c r="G4" s="120">
        <v>0.35709999999999997</v>
      </c>
      <c r="H4" s="121">
        <v>168</v>
      </c>
      <c r="I4" s="121">
        <v>60</v>
      </c>
      <c r="J4" s="121">
        <v>0</v>
      </c>
      <c r="K4" s="118" t="s">
        <v>104</v>
      </c>
      <c r="L4" s="122" t="s">
        <v>36</v>
      </c>
      <c r="M4" s="121">
        <v>1</v>
      </c>
      <c r="N4" s="121">
        <v>5</v>
      </c>
      <c r="O4" s="121">
        <v>19</v>
      </c>
      <c r="P4" s="118" t="s">
        <v>43</v>
      </c>
      <c r="Q4" s="114"/>
      <c r="R4" s="114"/>
      <c r="S4" s="114"/>
      <c r="T4" s="114"/>
      <c r="U4" s="114"/>
      <c r="V4" s="114"/>
      <c r="W4" s="114"/>
      <c r="X4" s="114"/>
      <c r="Y4" s="114"/>
      <c r="Z4" s="121" t="s">
        <v>118</v>
      </c>
      <c r="AA4" s="121" t="s">
        <v>119</v>
      </c>
      <c r="AB4" s="121" t="s">
        <v>120</v>
      </c>
      <c r="AC4" s="121" t="s">
        <v>121</v>
      </c>
      <c r="AD4" s="121" t="s">
        <v>122</v>
      </c>
      <c r="AE4" s="121" t="s">
        <v>123</v>
      </c>
      <c r="AF4" s="121" t="s">
        <v>124</v>
      </c>
      <c r="AG4" s="114"/>
      <c r="AH4" s="114"/>
      <c r="AI4" s="114"/>
      <c r="AJ4" s="114"/>
    </row>
    <row r="5" spans="1:36" x14ac:dyDescent="0.3">
      <c r="A5" s="116" t="s">
        <v>101</v>
      </c>
      <c r="B5" s="117">
        <v>45995</v>
      </c>
      <c r="C5" s="118" t="s">
        <v>35</v>
      </c>
      <c r="D5" s="119" t="s">
        <v>102</v>
      </c>
      <c r="E5" s="118" t="s">
        <v>1</v>
      </c>
      <c r="F5" s="118" t="s">
        <v>103</v>
      </c>
      <c r="G5" s="120">
        <v>0.1845</v>
      </c>
      <c r="H5" s="121">
        <v>168</v>
      </c>
      <c r="I5" s="121">
        <v>31</v>
      </c>
      <c r="J5" s="121">
        <v>0</v>
      </c>
      <c r="K5" s="118" t="s">
        <v>104</v>
      </c>
      <c r="L5" s="122" t="s">
        <v>36</v>
      </c>
      <c r="M5" s="121">
        <v>3</v>
      </c>
      <c r="N5" s="121">
        <v>1</v>
      </c>
      <c r="O5" s="121">
        <v>14</v>
      </c>
      <c r="P5" s="118" t="s">
        <v>43</v>
      </c>
      <c r="Q5" s="114"/>
      <c r="R5" s="114"/>
      <c r="S5" s="114"/>
      <c r="T5" s="114"/>
      <c r="U5" s="114"/>
      <c r="V5" s="114"/>
      <c r="W5" s="114"/>
      <c r="X5" s="114"/>
      <c r="Y5" s="114"/>
      <c r="Z5" s="121" t="s">
        <v>105</v>
      </c>
      <c r="AA5" s="114"/>
      <c r="AB5" s="114"/>
      <c r="AC5" s="121" t="s">
        <v>125</v>
      </c>
      <c r="AD5" s="121" t="s">
        <v>126</v>
      </c>
      <c r="AE5" s="121" t="s">
        <v>127</v>
      </c>
      <c r="AF5" s="114"/>
      <c r="AG5" s="114"/>
      <c r="AH5" s="114"/>
      <c r="AI5" s="114"/>
      <c r="AJ5" s="114"/>
    </row>
    <row r="6" spans="1:36" x14ac:dyDescent="0.3">
      <c r="A6" s="116" t="s">
        <v>110</v>
      </c>
      <c r="B6" s="117">
        <v>45996</v>
      </c>
      <c r="C6" s="118" t="s">
        <v>42</v>
      </c>
      <c r="D6" s="119" t="s">
        <v>111</v>
      </c>
      <c r="E6" s="118" t="s">
        <v>1</v>
      </c>
      <c r="F6" s="118" t="s">
        <v>103</v>
      </c>
      <c r="G6" s="120">
        <v>0.34520000000000001</v>
      </c>
      <c r="H6" s="121">
        <v>168</v>
      </c>
      <c r="I6" s="121">
        <v>58</v>
      </c>
      <c r="J6" s="121">
        <v>0</v>
      </c>
      <c r="K6" s="118" t="s">
        <v>104</v>
      </c>
      <c r="L6" s="122" t="s">
        <v>36</v>
      </c>
      <c r="M6" s="121">
        <v>5</v>
      </c>
      <c r="N6" s="121">
        <v>1</v>
      </c>
      <c r="O6" s="121">
        <v>24</v>
      </c>
      <c r="P6" s="118" t="s">
        <v>65</v>
      </c>
      <c r="Q6" s="114"/>
      <c r="R6" s="114"/>
      <c r="S6" s="114"/>
      <c r="T6" s="114"/>
      <c r="U6" s="114"/>
      <c r="V6" s="114"/>
      <c r="W6" s="114"/>
      <c r="X6" s="114"/>
      <c r="Y6" s="121" t="s">
        <v>128</v>
      </c>
      <c r="Z6" s="121" t="s">
        <v>105</v>
      </c>
      <c r="AA6" s="121" t="s">
        <v>129</v>
      </c>
      <c r="AB6" s="121" t="s">
        <v>130</v>
      </c>
      <c r="AC6" s="121" t="s">
        <v>131</v>
      </c>
      <c r="AD6" s="121" t="s">
        <v>132</v>
      </c>
      <c r="AE6" s="121" t="s">
        <v>109</v>
      </c>
      <c r="AF6" s="114"/>
      <c r="AG6" s="114"/>
      <c r="AH6" s="114"/>
      <c r="AI6" s="114"/>
      <c r="AJ6" s="114"/>
    </row>
    <row r="7" spans="1:36" x14ac:dyDescent="0.3">
      <c r="A7" s="116" t="s">
        <v>117</v>
      </c>
      <c r="B7" s="117">
        <v>45998</v>
      </c>
      <c r="C7" s="118" t="s">
        <v>42</v>
      </c>
      <c r="D7" s="119" t="s">
        <v>111</v>
      </c>
      <c r="E7" s="118" t="s">
        <v>1</v>
      </c>
      <c r="F7" s="118" t="s">
        <v>103</v>
      </c>
      <c r="G7" s="120">
        <v>0.11899999999999999</v>
      </c>
      <c r="H7" s="121">
        <v>168</v>
      </c>
      <c r="I7" s="121">
        <v>20</v>
      </c>
      <c r="J7" s="121">
        <v>0</v>
      </c>
      <c r="K7" s="118" t="s">
        <v>104</v>
      </c>
      <c r="L7" s="122" t="s">
        <v>70</v>
      </c>
      <c r="M7" s="121">
        <v>0</v>
      </c>
      <c r="N7" s="121">
        <v>0</v>
      </c>
      <c r="O7" s="121">
        <v>0</v>
      </c>
      <c r="P7" s="118" t="s">
        <v>43</v>
      </c>
      <c r="Q7" s="114"/>
      <c r="R7" s="114"/>
      <c r="S7" s="114"/>
      <c r="T7" s="114"/>
      <c r="U7" s="114"/>
      <c r="V7" s="114"/>
      <c r="W7" s="114"/>
      <c r="X7" s="114"/>
      <c r="Y7" s="114"/>
      <c r="Z7" s="121" t="s">
        <v>118</v>
      </c>
      <c r="AA7" s="114"/>
      <c r="AB7" s="114"/>
      <c r="AC7" s="121" t="s">
        <v>133</v>
      </c>
      <c r="AD7" s="121" t="s">
        <v>134</v>
      </c>
      <c r="AE7" s="121" t="s">
        <v>135</v>
      </c>
      <c r="AF7" s="114"/>
      <c r="AG7" s="114"/>
      <c r="AH7" s="114"/>
      <c r="AI7" s="114"/>
      <c r="AJ7" s="114"/>
    </row>
    <row r="8" spans="1:36" ht="21" x14ac:dyDescent="0.3">
      <c r="A8" s="123" t="s">
        <v>165</v>
      </c>
      <c r="B8" s="124"/>
      <c r="C8" s="123">
        <f>SUBTOTAL(103,AHB_CAI_LF_LEGACY[Flt])</f>
        <v>6</v>
      </c>
      <c r="D8" s="123"/>
      <c r="E8" s="123">
        <f>SUBTOTAL(103,AHB_CAI_LF_LEGACY[Brd-Off])</f>
        <v>6</v>
      </c>
      <c r="F8" s="123"/>
      <c r="G8" s="125">
        <f>SUBTOTAL(101,AHB_CAI_LF_LEGACY[LF%])</f>
        <v>0.31148333333333333</v>
      </c>
      <c r="H8" s="126">
        <f>SUBTOTAL(109,AHB_CAI_LF_LEGACY[CAP])</f>
        <v>1008</v>
      </c>
      <c r="I8" s="126">
        <f>SUBTOTAL(109,AHB_CAI_LF_LEGACY[BKG(Y)])</f>
        <v>314</v>
      </c>
      <c r="J8" s="126">
        <f>SUBTOTAL(109,AHB_CAI_LF_LEGACY[GRP(Y)])</f>
        <v>0</v>
      </c>
      <c r="K8" s="123"/>
      <c r="L8" s="124"/>
      <c r="M8" s="126">
        <f>SUBTOTAL(109,AHB_CAI_LF_LEGACY[TO-DAY])</f>
        <v>25</v>
      </c>
      <c r="N8" s="126">
        <f>SUBTOTAL(109,AHB_CAI_LF_LEGACY[Y-DAY])</f>
        <v>18</v>
      </c>
      <c r="O8" s="126">
        <f>SUBTOTAL(109,AHB_CAI_LF_LEGACY[WEEKLY])</f>
        <v>145</v>
      </c>
      <c r="P8" s="127"/>
      <c r="Q8" s="126">
        <f>SUBTOTAL(109,AHB_CAI_LF_LEGACY[Y])</f>
        <v>0</v>
      </c>
      <c r="R8" s="126">
        <f>SUBTOTAL(109,AHB_CAI_LF_LEGACY[B])</f>
        <v>0</v>
      </c>
      <c r="S8" s="126">
        <f>SUBTOTAL(109,AHB_CAI_LF_LEGACY[M])</f>
        <v>0</v>
      </c>
      <c r="T8" s="126">
        <f>SUBTOTAL(109,AHB_CAI_LF_LEGACY[H])</f>
        <v>0</v>
      </c>
      <c r="U8" s="126">
        <f>SUBTOTAL(109,AHB_CAI_LF_LEGACY[Q])</f>
        <v>0</v>
      </c>
      <c r="V8" s="126">
        <f>SUBTOTAL(109,AHB_CAI_LF_LEGACY[K])</f>
        <v>0</v>
      </c>
      <c r="W8" s="126">
        <f>SUBTOTAL(109,AHB_CAI_LF_LEGACY[V])</f>
        <v>0</v>
      </c>
      <c r="X8" s="126">
        <f>SUBTOTAL(109,AHB_CAI_LF_LEGACY[L])</f>
        <v>0</v>
      </c>
      <c r="Y8" s="126">
        <f>SUBTOTAL(109,AHB_CAI_LF_LEGACY[G])</f>
        <v>0</v>
      </c>
      <c r="Z8" s="126">
        <f>SUBTOTAL(109,AHB_CAI_LF_LEGACY[S])</f>
        <v>0</v>
      </c>
      <c r="AA8" s="126">
        <f>SUBTOTAL(109,AHB_CAI_LF_LEGACY[W])</f>
        <v>0</v>
      </c>
      <c r="AB8" s="126">
        <f>SUBTOTAL(109,AHB_CAI_LF_LEGACY[T])</f>
        <v>0</v>
      </c>
      <c r="AC8" s="126">
        <f>SUBTOTAL(109,AHB_CAI_LF_LEGACY[X])</f>
        <v>0</v>
      </c>
      <c r="AD8" s="126">
        <f>SUBTOTAL(109,AHB_CAI_LF_LEGACY[U])</f>
        <v>0</v>
      </c>
      <c r="AE8" s="126">
        <f>SUBTOTAL(109,AHB_CAI_LF_LEGACY[O])</f>
        <v>0</v>
      </c>
      <c r="AF8" s="126">
        <f>SUBTOTAL(109,AHB_CAI_LF_LEGACY[I])</f>
        <v>0</v>
      </c>
      <c r="AG8" s="126">
        <f>SUBTOTAL(109,AHB_CAI_LF_LEGACY[E])</f>
        <v>0</v>
      </c>
      <c r="AH8" s="126">
        <f>SUBTOTAL(109,AHB_CAI_LF_LEGACY[A])</f>
        <v>0</v>
      </c>
      <c r="AI8" s="126">
        <f>SUBTOTAL(109,AHB_CAI_LF_LEGACY[P])</f>
        <v>0</v>
      </c>
      <c r="AJ8" s="126">
        <f>SUBTOTAL(103,AHB_CAI_LF_LEGACY[N])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9.77734375" hidden="1" customWidth="1"/>
  </cols>
  <sheetData>
    <row r="1" spans="1:8" ht="18" x14ac:dyDescent="0.3">
      <c r="A1" s="50" t="s">
        <v>136</v>
      </c>
      <c r="B1" s="51" t="s">
        <v>8</v>
      </c>
      <c r="C1" s="51" t="s">
        <v>9</v>
      </c>
      <c r="D1" s="51" t="s">
        <v>137</v>
      </c>
      <c r="E1" s="51" t="s">
        <v>10</v>
      </c>
      <c r="F1" s="51" t="s">
        <v>11</v>
      </c>
      <c r="G1" s="51" t="s">
        <v>12</v>
      </c>
      <c r="H1" s="52" t="s">
        <v>13</v>
      </c>
    </row>
    <row r="2" spans="1:8" ht="19.8" customHeight="1" x14ac:dyDescent="0.3">
      <c r="A2" s="53" t="s">
        <v>138</v>
      </c>
      <c r="B2" s="54" t="s">
        <v>26</v>
      </c>
      <c r="C2" s="55" t="s">
        <v>27</v>
      </c>
      <c r="D2" s="54" t="s">
        <v>1</v>
      </c>
      <c r="E2" s="54" t="s">
        <v>139</v>
      </c>
      <c r="F2" s="54" t="s">
        <v>28</v>
      </c>
      <c r="G2" s="56">
        <v>6</v>
      </c>
      <c r="H2" s="57">
        <v>763</v>
      </c>
    </row>
    <row r="3" spans="1:8" ht="19.8" customHeight="1" x14ac:dyDescent="0.3">
      <c r="A3" s="58" t="s">
        <v>140</v>
      </c>
      <c r="B3" s="59" t="s">
        <v>31</v>
      </c>
      <c r="C3" s="60" t="s">
        <v>32</v>
      </c>
      <c r="D3" s="59" t="s">
        <v>1</v>
      </c>
      <c r="E3" s="59" t="s">
        <v>102</v>
      </c>
      <c r="F3" s="59" t="s">
        <v>28</v>
      </c>
      <c r="G3" s="61">
        <v>5</v>
      </c>
      <c r="H3" s="62">
        <v>564</v>
      </c>
    </row>
    <row r="4" spans="1:8" ht="19.8" customHeight="1" x14ac:dyDescent="0.3">
      <c r="A4" s="63">
        <v>45988</v>
      </c>
      <c r="B4" s="54" t="s">
        <v>26</v>
      </c>
      <c r="C4" s="55" t="s">
        <v>27</v>
      </c>
      <c r="D4" s="54" t="s">
        <v>1</v>
      </c>
      <c r="E4" s="64">
        <v>1.9965277777777779</v>
      </c>
      <c r="F4" s="54" t="s">
        <v>28</v>
      </c>
      <c r="G4" s="56">
        <v>9</v>
      </c>
      <c r="H4" s="57">
        <v>571</v>
      </c>
    </row>
    <row r="5" spans="1:8" ht="19.8" customHeight="1" x14ac:dyDescent="0.3">
      <c r="A5" s="65">
        <v>45989</v>
      </c>
      <c r="B5" s="59" t="s">
        <v>31</v>
      </c>
      <c r="C5" s="60" t="s">
        <v>41</v>
      </c>
      <c r="D5" s="59" t="s">
        <v>1</v>
      </c>
      <c r="E5" s="66">
        <v>1.0034722222222221</v>
      </c>
      <c r="F5" s="59" t="s">
        <v>28</v>
      </c>
      <c r="G5" s="61">
        <v>9</v>
      </c>
      <c r="H5" s="62">
        <v>564</v>
      </c>
    </row>
    <row r="6" spans="1:8" ht="19.8" customHeight="1" x14ac:dyDescent="0.3">
      <c r="A6" s="67">
        <v>45989</v>
      </c>
      <c r="B6" s="68" t="s">
        <v>45</v>
      </c>
      <c r="C6" s="69" t="s">
        <v>46</v>
      </c>
      <c r="D6" s="68" t="s">
        <v>1</v>
      </c>
      <c r="E6" s="70">
        <v>1.916666666666667</v>
      </c>
      <c r="F6" s="68" t="s">
        <v>47</v>
      </c>
      <c r="G6" s="71">
        <v>9</v>
      </c>
      <c r="H6" s="72">
        <v>575</v>
      </c>
    </row>
    <row r="7" spans="1:8" ht="19.8" customHeight="1" x14ac:dyDescent="0.3">
      <c r="A7" s="63">
        <v>45989</v>
      </c>
      <c r="B7" s="54" t="s">
        <v>45</v>
      </c>
      <c r="C7" s="55" t="s">
        <v>46</v>
      </c>
      <c r="D7" s="54" t="s">
        <v>1</v>
      </c>
      <c r="E7" s="64">
        <v>1.916666666666667</v>
      </c>
      <c r="F7" s="54" t="s">
        <v>50</v>
      </c>
      <c r="G7" s="56">
        <v>9</v>
      </c>
      <c r="H7" s="57">
        <v>703</v>
      </c>
    </row>
    <row r="8" spans="1:8" ht="19.8" customHeight="1" x14ac:dyDescent="0.3">
      <c r="A8" s="63">
        <v>45990</v>
      </c>
      <c r="B8" s="54" t="s">
        <v>26</v>
      </c>
      <c r="C8" s="55" t="s">
        <v>53</v>
      </c>
      <c r="D8" s="54" t="s">
        <v>1</v>
      </c>
      <c r="E8" s="64">
        <v>1.197916666666667</v>
      </c>
      <c r="F8" s="54" t="s">
        <v>28</v>
      </c>
      <c r="G8" s="56">
        <v>7</v>
      </c>
      <c r="H8" s="57">
        <v>550</v>
      </c>
    </row>
    <row r="9" spans="1:8" ht="19.8" customHeight="1" x14ac:dyDescent="0.3">
      <c r="A9" s="67">
        <v>45991</v>
      </c>
      <c r="B9" s="68" t="s">
        <v>26</v>
      </c>
      <c r="C9" s="69" t="s">
        <v>27</v>
      </c>
      <c r="D9" s="68" t="s">
        <v>1</v>
      </c>
      <c r="E9" s="70">
        <v>1.916666666666667</v>
      </c>
      <c r="F9" s="68" t="s">
        <v>28</v>
      </c>
      <c r="G9" s="71">
        <v>5</v>
      </c>
      <c r="H9" s="72">
        <v>550</v>
      </c>
    </row>
    <row r="10" spans="1:8" ht="19.8" customHeight="1" x14ac:dyDescent="0.3">
      <c r="A10" s="73">
        <v>45991</v>
      </c>
      <c r="B10" s="74" t="s">
        <v>31</v>
      </c>
      <c r="C10" s="75" t="s">
        <v>41</v>
      </c>
      <c r="D10" s="74" t="s">
        <v>1</v>
      </c>
      <c r="E10" s="76">
        <v>1.0034722222222221</v>
      </c>
      <c r="F10" s="74" t="s">
        <v>28</v>
      </c>
      <c r="G10" s="77">
        <v>9</v>
      </c>
      <c r="H10" s="78">
        <v>564</v>
      </c>
    </row>
    <row r="11" spans="1:8" ht="19.8" customHeight="1" x14ac:dyDescent="0.3">
      <c r="A11" s="67">
        <v>45992</v>
      </c>
      <c r="B11" s="68" t="s">
        <v>45</v>
      </c>
      <c r="C11" s="69" t="s">
        <v>57</v>
      </c>
      <c r="D11" s="68" t="s">
        <v>1</v>
      </c>
      <c r="E11" s="70">
        <v>1.21875</v>
      </c>
      <c r="F11" s="68" t="s">
        <v>47</v>
      </c>
      <c r="G11" s="71">
        <v>9</v>
      </c>
      <c r="H11" s="72">
        <v>534</v>
      </c>
    </row>
    <row r="12" spans="1:8" ht="19.8" customHeight="1" x14ac:dyDescent="0.3">
      <c r="A12" s="63">
        <v>45992</v>
      </c>
      <c r="B12" s="54" t="s">
        <v>45</v>
      </c>
      <c r="C12" s="55" t="s">
        <v>57</v>
      </c>
      <c r="D12" s="54" t="s">
        <v>1</v>
      </c>
      <c r="E12" s="64">
        <v>1.21875</v>
      </c>
      <c r="F12" s="54" t="s">
        <v>50</v>
      </c>
      <c r="G12" s="56">
        <v>9</v>
      </c>
      <c r="H12" s="57">
        <v>657</v>
      </c>
    </row>
    <row r="13" spans="1:8" ht="19.8" customHeight="1" x14ac:dyDescent="0.3">
      <c r="A13" s="63">
        <v>45993</v>
      </c>
      <c r="B13" s="54" t="s">
        <v>26</v>
      </c>
      <c r="C13" s="55" t="s">
        <v>27</v>
      </c>
      <c r="D13" s="54" t="s">
        <v>1</v>
      </c>
      <c r="E13" s="64">
        <v>1.958333333333333</v>
      </c>
      <c r="F13" s="54" t="s">
        <v>28</v>
      </c>
      <c r="G13" s="56">
        <v>9</v>
      </c>
      <c r="H13" s="57">
        <v>550</v>
      </c>
    </row>
    <row r="14" spans="1:8" ht="19.8" customHeight="1" x14ac:dyDescent="0.3">
      <c r="A14" s="65">
        <v>45995</v>
      </c>
      <c r="B14" s="59" t="s">
        <v>31</v>
      </c>
      <c r="C14" s="60" t="s">
        <v>32</v>
      </c>
      <c r="D14" s="59" t="s">
        <v>1</v>
      </c>
      <c r="E14" s="66">
        <v>1.0451388888888891</v>
      </c>
      <c r="F14" s="59" t="s">
        <v>28</v>
      </c>
      <c r="G14" s="61">
        <v>9</v>
      </c>
      <c r="H14" s="62">
        <v>564</v>
      </c>
    </row>
    <row r="15" spans="1:8" ht="19.8" customHeight="1" x14ac:dyDescent="0.3">
      <c r="A15" s="63">
        <v>45995</v>
      </c>
      <c r="B15" s="54" t="s">
        <v>26</v>
      </c>
      <c r="C15" s="55" t="s">
        <v>27</v>
      </c>
      <c r="D15" s="54" t="s">
        <v>1</v>
      </c>
      <c r="E15" s="64">
        <v>1.958333333333333</v>
      </c>
      <c r="F15" s="54" t="s">
        <v>28</v>
      </c>
      <c r="G15" s="56">
        <v>4</v>
      </c>
      <c r="H15" s="57">
        <v>640</v>
      </c>
    </row>
    <row r="16" spans="1:8" ht="19.8" customHeight="1" x14ac:dyDescent="0.3">
      <c r="A16" s="73">
        <v>45996</v>
      </c>
      <c r="B16" s="74" t="s">
        <v>31</v>
      </c>
      <c r="C16" s="75" t="s">
        <v>41</v>
      </c>
      <c r="D16" s="74" t="s">
        <v>1</v>
      </c>
      <c r="E16" s="76">
        <v>1.0034722222222221</v>
      </c>
      <c r="F16" s="74" t="s">
        <v>28</v>
      </c>
      <c r="G16" s="77">
        <v>3</v>
      </c>
      <c r="H16" s="78">
        <v>591</v>
      </c>
    </row>
    <row r="17" spans="1:8" ht="19.8" customHeight="1" x14ac:dyDescent="0.3">
      <c r="A17" s="63">
        <v>45997</v>
      </c>
      <c r="B17" s="54" t="s">
        <v>26</v>
      </c>
      <c r="C17" s="55" t="s">
        <v>53</v>
      </c>
      <c r="D17" s="54" t="s">
        <v>1</v>
      </c>
      <c r="E17" s="64">
        <v>1.197916666666667</v>
      </c>
      <c r="F17" s="54" t="s">
        <v>28</v>
      </c>
      <c r="G17" s="56">
        <v>5</v>
      </c>
      <c r="H17" s="57">
        <v>571</v>
      </c>
    </row>
    <row r="18" spans="1:8" ht="19.8" customHeight="1" x14ac:dyDescent="0.3">
      <c r="A18" s="67">
        <v>45998</v>
      </c>
      <c r="B18" s="68" t="s">
        <v>45</v>
      </c>
      <c r="C18" s="69" t="s">
        <v>46</v>
      </c>
      <c r="D18" s="68" t="s">
        <v>1</v>
      </c>
      <c r="E18" s="70">
        <v>1.9965277777777779</v>
      </c>
      <c r="F18" s="68" t="s">
        <v>47</v>
      </c>
      <c r="G18" s="71">
        <v>9</v>
      </c>
      <c r="H18" s="72">
        <v>539</v>
      </c>
    </row>
    <row r="19" spans="1:8" ht="19.8" customHeight="1" x14ac:dyDescent="0.3">
      <c r="A19" s="67">
        <v>45998</v>
      </c>
      <c r="B19" s="68" t="s">
        <v>26</v>
      </c>
      <c r="C19" s="69" t="s">
        <v>27</v>
      </c>
      <c r="D19" s="68" t="s">
        <v>1</v>
      </c>
      <c r="E19" s="70">
        <v>1.916666666666667</v>
      </c>
      <c r="F19" s="68" t="s">
        <v>28</v>
      </c>
      <c r="G19" s="71">
        <v>2</v>
      </c>
      <c r="H19" s="72">
        <v>550</v>
      </c>
    </row>
    <row r="20" spans="1:8" ht="19.8" customHeight="1" x14ac:dyDescent="0.3">
      <c r="A20" s="65">
        <v>45998</v>
      </c>
      <c r="B20" s="59" t="s">
        <v>31</v>
      </c>
      <c r="C20" s="60" t="s">
        <v>41</v>
      </c>
      <c r="D20" s="59" t="s">
        <v>1</v>
      </c>
      <c r="E20" s="66">
        <v>1.0034722222222221</v>
      </c>
      <c r="F20" s="59" t="s">
        <v>28</v>
      </c>
      <c r="G20" s="61">
        <v>9</v>
      </c>
      <c r="H20" s="62">
        <v>564</v>
      </c>
    </row>
    <row r="21" spans="1:8" ht="19.8" customHeight="1" x14ac:dyDescent="0.3">
      <c r="A21" s="63">
        <v>45998</v>
      </c>
      <c r="B21" s="54" t="s">
        <v>45</v>
      </c>
      <c r="C21" s="55" t="s">
        <v>46</v>
      </c>
      <c r="D21" s="54" t="s">
        <v>1</v>
      </c>
      <c r="E21" s="64">
        <v>1.9965277777777779</v>
      </c>
      <c r="F21" s="54" t="s">
        <v>50</v>
      </c>
      <c r="G21" s="56">
        <v>9</v>
      </c>
      <c r="H21" s="57">
        <v>663</v>
      </c>
    </row>
    <row r="22" spans="1:8" ht="19.8" customHeight="1" x14ac:dyDescent="0.3">
      <c r="A22" s="67">
        <v>45999</v>
      </c>
      <c r="B22" s="68" t="s">
        <v>45</v>
      </c>
      <c r="C22" s="69" t="s">
        <v>57</v>
      </c>
      <c r="D22" s="68" t="s">
        <v>1</v>
      </c>
      <c r="E22" s="70">
        <v>1.21875</v>
      </c>
      <c r="F22" s="68" t="s">
        <v>47</v>
      </c>
      <c r="G22" s="71">
        <v>9</v>
      </c>
      <c r="H22" s="72">
        <v>534</v>
      </c>
    </row>
    <row r="23" spans="1:8" ht="19.8" customHeight="1" x14ac:dyDescent="0.3">
      <c r="A23" s="63">
        <v>45999</v>
      </c>
      <c r="B23" s="54" t="s">
        <v>45</v>
      </c>
      <c r="C23" s="55" t="s">
        <v>57</v>
      </c>
      <c r="D23" s="54" t="s">
        <v>1</v>
      </c>
      <c r="E23" s="64">
        <v>1.21875</v>
      </c>
      <c r="F23" s="54" t="s">
        <v>50</v>
      </c>
      <c r="G23" s="56">
        <v>9</v>
      </c>
      <c r="H23" s="57">
        <v>657</v>
      </c>
    </row>
    <row r="24" spans="1:8" ht="19.8" customHeight="1" x14ac:dyDescent="0.3">
      <c r="A24" s="67">
        <v>46000</v>
      </c>
      <c r="B24" s="68" t="s">
        <v>45</v>
      </c>
      <c r="C24" s="69" t="s">
        <v>46</v>
      </c>
      <c r="D24" s="68" t="s">
        <v>1</v>
      </c>
      <c r="E24" s="70">
        <v>1.2951388888888891</v>
      </c>
      <c r="F24" s="68" t="s">
        <v>47</v>
      </c>
      <c r="G24" s="71">
        <v>9</v>
      </c>
      <c r="H24" s="72">
        <v>534</v>
      </c>
    </row>
    <row r="25" spans="1:8" ht="19.8" customHeight="1" x14ac:dyDescent="0.3">
      <c r="A25" s="67">
        <v>46000</v>
      </c>
      <c r="B25" s="68" t="s">
        <v>26</v>
      </c>
      <c r="C25" s="69" t="s">
        <v>27</v>
      </c>
      <c r="D25" s="68" t="s">
        <v>1</v>
      </c>
      <c r="E25" s="70">
        <v>1.958333333333333</v>
      </c>
      <c r="F25" s="68" t="s">
        <v>28</v>
      </c>
      <c r="G25" s="71">
        <v>2</v>
      </c>
      <c r="H25" s="72">
        <v>550</v>
      </c>
    </row>
    <row r="26" spans="1:8" ht="19.8" customHeight="1" x14ac:dyDescent="0.3">
      <c r="A26" s="63">
        <v>46000</v>
      </c>
      <c r="B26" s="54" t="s">
        <v>45</v>
      </c>
      <c r="C26" s="55" t="s">
        <v>46</v>
      </c>
      <c r="D26" s="54" t="s">
        <v>1</v>
      </c>
      <c r="E26" s="64">
        <v>1.2951388888888891</v>
      </c>
      <c r="F26" s="54" t="s">
        <v>50</v>
      </c>
      <c r="G26" s="56">
        <v>9</v>
      </c>
      <c r="H26" s="57">
        <v>657</v>
      </c>
    </row>
    <row r="27" spans="1:8" ht="19.8" customHeight="1" x14ac:dyDescent="0.3">
      <c r="A27" s="67">
        <v>46001</v>
      </c>
      <c r="B27" s="68" t="s">
        <v>45</v>
      </c>
      <c r="C27" s="69" t="s">
        <v>57</v>
      </c>
      <c r="D27" s="68" t="s">
        <v>1</v>
      </c>
      <c r="E27" s="70">
        <v>1.21875</v>
      </c>
      <c r="F27" s="68" t="s">
        <v>47</v>
      </c>
      <c r="G27" s="71">
        <v>9</v>
      </c>
      <c r="H27" s="72">
        <v>534</v>
      </c>
    </row>
    <row r="28" spans="1:8" ht="19.8" customHeight="1" x14ac:dyDescent="0.3">
      <c r="A28" s="63">
        <v>46001</v>
      </c>
      <c r="B28" s="54" t="s">
        <v>45</v>
      </c>
      <c r="C28" s="55" t="s">
        <v>57</v>
      </c>
      <c r="D28" s="54" t="s">
        <v>1</v>
      </c>
      <c r="E28" s="64">
        <v>1.21875</v>
      </c>
      <c r="F28" s="54" t="s">
        <v>50</v>
      </c>
      <c r="G28" s="56">
        <v>9</v>
      </c>
      <c r="H28" s="57">
        <v>657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8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39.777343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3.33203125" bestFit="1" customWidth="1"/>
  </cols>
  <sheetData>
    <row r="1" spans="1:18" ht="25.05" customHeight="1" x14ac:dyDescent="0.3">
      <c r="A1" s="104" t="s">
        <v>0</v>
      </c>
      <c r="B1" s="99"/>
      <c r="C1" s="99"/>
      <c r="D1" s="99"/>
      <c r="E1" s="99"/>
      <c r="F1" s="1" t="s">
        <v>141</v>
      </c>
      <c r="G1" s="2" t="s">
        <v>2</v>
      </c>
      <c r="H1" s="103">
        <v>45986</v>
      </c>
      <c r="I1" s="99"/>
      <c r="J1" s="99"/>
      <c r="K1" s="99"/>
      <c r="L1" s="99"/>
      <c r="M1" s="1" t="s">
        <v>3</v>
      </c>
      <c r="N1" s="108">
        <v>46001</v>
      </c>
      <c r="O1" s="99"/>
      <c r="P1" s="99"/>
      <c r="Q1" s="99"/>
      <c r="R1" s="99"/>
    </row>
    <row r="2" spans="1:18" ht="18" customHeight="1" x14ac:dyDescent="0.3">
      <c r="A2" s="105" t="s">
        <v>4</v>
      </c>
      <c r="B2" s="99"/>
      <c r="C2" s="99"/>
      <c r="D2" s="99"/>
      <c r="E2" s="99"/>
      <c r="F2" s="99"/>
      <c r="G2" s="107">
        <v>45982.825499530038</v>
      </c>
      <c r="H2" s="99"/>
      <c r="I2" s="99"/>
      <c r="J2" s="99"/>
      <c r="K2" s="109">
        <v>45982.825499530409</v>
      </c>
      <c r="L2" s="99"/>
      <c r="M2" s="99"/>
      <c r="N2" s="99"/>
      <c r="O2" s="99"/>
      <c r="P2" s="99"/>
      <c r="Q2" s="99"/>
      <c r="R2" s="99"/>
    </row>
    <row r="3" spans="1:18" ht="24" customHeight="1" x14ac:dyDescent="0.3">
      <c r="A3" s="106" t="s">
        <v>5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ht="17.399999999999999" customHeight="1" x14ac:dyDescent="0.3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3"/>
    </row>
    <row r="5" spans="1:18" ht="17.399999999999999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3"/>
    </row>
    <row r="6" spans="1:18" ht="17.399999999999999" customHeight="1" x14ac:dyDescent="0.3">
      <c r="A6" s="128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30"/>
    </row>
    <row r="7" spans="1:18" ht="22.05" customHeight="1" x14ac:dyDescent="0.3">
      <c r="A7" s="100" t="s">
        <v>6</v>
      </c>
      <c r="B7" s="101"/>
      <c r="C7" s="101"/>
      <c r="D7" s="101"/>
      <c r="E7" s="101"/>
      <c r="F7" s="102"/>
      <c r="G7" s="3">
        <v>45989</v>
      </c>
      <c r="H7" s="100" t="s">
        <v>7</v>
      </c>
      <c r="I7" s="101"/>
      <c r="J7" s="101"/>
      <c r="K7" s="101"/>
      <c r="L7" s="101"/>
      <c r="M7" s="101"/>
      <c r="N7" s="101"/>
      <c r="O7" s="101"/>
      <c r="P7" s="101"/>
      <c r="Q7" s="101"/>
      <c r="R7" s="102"/>
    </row>
    <row r="8" spans="1:18" ht="24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5" t="s">
        <v>13</v>
      </c>
      <c r="G8" s="6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4" t="s">
        <v>25</v>
      </c>
    </row>
    <row r="9" spans="1:18" ht="49.95" customHeight="1" x14ac:dyDescent="0.3">
      <c r="A9" s="79" t="s">
        <v>31</v>
      </c>
      <c r="B9" s="79" t="s">
        <v>142</v>
      </c>
      <c r="C9" s="79">
        <v>0.76041666666666663</v>
      </c>
      <c r="D9" s="79" t="s">
        <v>28</v>
      </c>
      <c r="E9" s="79" t="s">
        <v>39</v>
      </c>
      <c r="F9" s="79" t="s">
        <v>143</v>
      </c>
      <c r="G9" s="99"/>
      <c r="H9" s="80" t="s">
        <v>144</v>
      </c>
      <c r="I9" s="81">
        <v>0.27379999999999999</v>
      </c>
      <c r="J9" s="82">
        <v>46</v>
      </c>
      <c r="K9" s="83" t="s">
        <v>36</v>
      </c>
      <c r="L9" s="82">
        <v>13</v>
      </c>
      <c r="M9" s="82">
        <v>4</v>
      </c>
      <c r="N9" s="82">
        <v>2</v>
      </c>
      <c r="O9" s="83" t="s">
        <v>145</v>
      </c>
      <c r="P9" s="83">
        <v>0.76041666666666663</v>
      </c>
      <c r="Q9" s="82">
        <v>168</v>
      </c>
      <c r="R9" s="84" t="s">
        <v>146</v>
      </c>
    </row>
    <row r="10" spans="1:18" ht="17.399999999999999" customHeight="1" x14ac:dyDescent="0.3">
      <c r="A10" s="128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30"/>
    </row>
    <row r="11" spans="1:18" ht="17.399999999999999" customHeight="1" x14ac:dyDescent="0.3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30"/>
    </row>
    <row r="12" spans="1:18" ht="17.399999999999999" customHeight="1" x14ac:dyDescent="0.3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30"/>
    </row>
    <row r="13" spans="1:18" ht="17.399999999999999" customHeight="1" x14ac:dyDescent="0.3">
      <c r="A13" s="128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30"/>
    </row>
    <row r="14" spans="1:18" ht="17.399999999999999" customHeight="1" x14ac:dyDescent="0.3">
      <c r="A14" s="128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30"/>
    </row>
    <row r="15" spans="1:18" ht="17.399999999999999" customHeight="1" x14ac:dyDescent="0.3">
      <c r="A15" s="128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30"/>
    </row>
    <row r="16" spans="1:18" ht="17.399999999999999" customHeight="1" x14ac:dyDescent="0.3">
      <c r="A16" s="128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30"/>
    </row>
    <row r="17" spans="1:18" ht="22.05" customHeight="1" x14ac:dyDescent="0.3">
      <c r="A17" s="100" t="s">
        <v>6</v>
      </c>
      <c r="B17" s="101"/>
      <c r="C17" s="101"/>
      <c r="D17" s="101"/>
      <c r="E17" s="101"/>
      <c r="F17" s="102"/>
      <c r="G17" s="3">
        <v>45996</v>
      </c>
      <c r="H17" s="100" t="s">
        <v>7</v>
      </c>
      <c r="I17" s="101"/>
      <c r="J17" s="101"/>
      <c r="K17" s="101"/>
      <c r="L17" s="101"/>
      <c r="M17" s="101"/>
      <c r="N17" s="101"/>
      <c r="O17" s="101"/>
      <c r="P17" s="101"/>
      <c r="Q17" s="101"/>
      <c r="R17" s="102"/>
    </row>
    <row r="18" spans="1:18" ht="24" customHeight="1" x14ac:dyDescent="0.3">
      <c r="A18" s="4" t="s">
        <v>8</v>
      </c>
      <c r="B18" s="4" t="s">
        <v>9</v>
      </c>
      <c r="C18" s="4" t="s">
        <v>10</v>
      </c>
      <c r="D18" s="4" t="s">
        <v>11</v>
      </c>
      <c r="E18" s="4" t="s">
        <v>12</v>
      </c>
      <c r="F18" s="5" t="s">
        <v>13</v>
      </c>
      <c r="G18" s="6" t="s">
        <v>14</v>
      </c>
      <c r="H18" s="4" t="s">
        <v>15</v>
      </c>
      <c r="I18" s="4" t="s">
        <v>16</v>
      </c>
      <c r="J18" s="4" t="s">
        <v>17</v>
      </c>
      <c r="K18" s="4" t="s">
        <v>18</v>
      </c>
      <c r="L18" s="4" t="s">
        <v>19</v>
      </c>
      <c r="M18" s="4" t="s">
        <v>20</v>
      </c>
      <c r="N18" s="4" t="s">
        <v>21</v>
      </c>
      <c r="O18" s="4" t="s">
        <v>22</v>
      </c>
      <c r="P18" s="4" t="s">
        <v>23</v>
      </c>
      <c r="Q18" s="4" t="s">
        <v>24</v>
      </c>
      <c r="R18" s="4" t="s">
        <v>25</v>
      </c>
    </row>
    <row r="19" spans="1:18" ht="49.95" customHeight="1" x14ac:dyDescent="0.3">
      <c r="A19" s="85" t="s">
        <v>31</v>
      </c>
      <c r="B19" s="85" t="s">
        <v>142</v>
      </c>
      <c r="C19" s="85">
        <v>0.76041666666666663</v>
      </c>
      <c r="D19" s="85" t="s">
        <v>28</v>
      </c>
      <c r="E19" s="85" t="s">
        <v>39</v>
      </c>
      <c r="F19" s="85" t="s">
        <v>143</v>
      </c>
      <c r="G19" s="99"/>
      <c r="H19" s="86" t="s">
        <v>144</v>
      </c>
      <c r="I19" s="87">
        <v>0.1845</v>
      </c>
      <c r="J19" s="88">
        <v>31</v>
      </c>
      <c r="K19" s="89" t="s">
        <v>147</v>
      </c>
      <c r="L19" s="88">
        <v>7</v>
      </c>
      <c r="M19" s="88">
        <v>0</v>
      </c>
      <c r="N19" s="88">
        <v>1</v>
      </c>
      <c r="O19" s="89" t="s">
        <v>145</v>
      </c>
      <c r="P19" s="89">
        <v>0.76041666666666663</v>
      </c>
      <c r="Q19" s="88">
        <v>168</v>
      </c>
      <c r="R19" s="90" t="s">
        <v>148</v>
      </c>
    </row>
    <row r="20" spans="1:18" ht="17.399999999999999" customHeight="1" x14ac:dyDescent="0.3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30"/>
    </row>
    <row r="21" spans="1:18" ht="22.05" customHeight="1" x14ac:dyDescent="0.3">
      <c r="A21" s="100" t="s">
        <v>6</v>
      </c>
      <c r="B21" s="101"/>
      <c r="C21" s="101"/>
      <c r="D21" s="101"/>
      <c r="E21" s="101"/>
      <c r="F21" s="102"/>
      <c r="G21" s="3">
        <v>45997</v>
      </c>
      <c r="H21" s="100" t="s">
        <v>7</v>
      </c>
      <c r="I21" s="101"/>
      <c r="J21" s="101"/>
      <c r="K21" s="101"/>
      <c r="L21" s="101"/>
      <c r="M21" s="101"/>
      <c r="N21" s="101"/>
      <c r="O21" s="101"/>
      <c r="P21" s="101"/>
      <c r="Q21" s="101"/>
      <c r="R21" s="102"/>
    </row>
    <row r="22" spans="1:18" ht="24" customHeight="1" x14ac:dyDescent="0.3">
      <c r="A22" s="4" t="s">
        <v>8</v>
      </c>
      <c r="B22" s="4" t="s">
        <v>9</v>
      </c>
      <c r="C22" s="4" t="s">
        <v>10</v>
      </c>
      <c r="D22" s="4" t="s">
        <v>11</v>
      </c>
      <c r="E22" s="4" t="s">
        <v>12</v>
      </c>
      <c r="F22" s="5" t="s">
        <v>13</v>
      </c>
      <c r="G22" s="6" t="s">
        <v>14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  <c r="N22" s="4" t="s">
        <v>21</v>
      </c>
      <c r="O22" s="4" t="s">
        <v>22</v>
      </c>
      <c r="P22" s="4" t="s">
        <v>23</v>
      </c>
      <c r="Q22" s="4" t="s">
        <v>24</v>
      </c>
      <c r="R22" s="4" t="s">
        <v>25</v>
      </c>
    </row>
    <row r="23" spans="1:18" ht="15.6" x14ac:dyDescent="0.3">
      <c r="A23" s="111" t="s">
        <v>149</v>
      </c>
      <c r="B23" s="112"/>
      <c r="C23" s="112"/>
      <c r="D23" s="112"/>
      <c r="E23" s="112"/>
      <c r="F23" s="113"/>
      <c r="G23" s="110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ht="49.95" customHeight="1" x14ac:dyDescent="0.3">
      <c r="A24" s="91" t="s">
        <v>31</v>
      </c>
      <c r="B24" s="91" t="s">
        <v>150</v>
      </c>
      <c r="C24" s="91" t="s">
        <v>151</v>
      </c>
      <c r="D24" s="91" t="s">
        <v>152</v>
      </c>
      <c r="E24" s="91" t="s">
        <v>153</v>
      </c>
      <c r="F24" s="91" t="s">
        <v>154</v>
      </c>
      <c r="G24" s="110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</row>
    <row r="25" spans="1:18" ht="17.399999999999999" customHeight="1" x14ac:dyDescent="0.3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30"/>
    </row>
    <row r="26" spans="1:18" ht="17.399999999999999" customHeight="1" x14ac:dyDescent="0.3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30"/>
    </row>
    <row r="27" spans="1:18" ht="17.399999999999999" customHeight="1" x14ac:dyDescent="0.3">
      <c r="A27" s="128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30"/>
    </row>
    <row r="28" spans="1:18" ht="17.399999999999999" customHeight="1" x14ac:dyDescent="0.3">
      <c r="A28" s="128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30"/>
    </row>
  </sheetData>
  <mergeCells count="32">
    <mergeCell ref="A28:R28"/>
    <mergeCell ref="H7:R7"/>
    <mergeCell ref="A13:R13"/>
    <mergeCell ref="K2:R2"/>
    <mergeCell ref="G19"/>
    <mergeCell ref="A15:R15"/>
    <mergeCell ref="A11:R11"/>
    <mergeCell ref="A6:R6"/>
    <mergeCell ref="A7:F7"/>
    <mergeCell ref="A27:R27"/>
    <mergeCell ref="A21:F21"/>
    <mergeCell ref="A12:R12"/>
    <mergeCell ref="G9"/>
    <mergeCell ref="A2:F2"/>
    <mergeCell ref="A3:R3"/>
    <mergeCell ref="A26:R26"/>
    <mergeCell ref="A23:F23"/>
    <mergeCell ref="H21:R21"/>
    <mergeCell ref="A14:R14"/>
    <mergeCell ref="G2:J2"/>
    <mergeCell ref="A5:R5"/>
    <mergeCell ref="A17:F17"/>
    <mergeCell ref="A4:R4"/>
    <mergeCell ref="A20:R20"/>
    <mergeCell ref="H17:R17"/>
    <mergeCell ref="G23:G24"/>
    <mergeCell ref="A25:R25"/>
    <mergeCell ref="A16:R16"/>
    <mergeCell ref="H1:L1"/>
    <mergeCell ref="A1:E1"/>
    <mergeCell ref="N1:R1"/>
    <mergeCell ref="A10:R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"/>
  <sheetViews>
    <sheetView workbookViewId="0"/>
  </sheetViews>
  <sheetFormatPr defaultRowHeight="15.6" outlineLevelCol="1" x14ac:dyDescent="0.3"/>
  <cols>
    <col min="1" max="1" width="6.88671875" style="115" bestFit="1" customWidth="1"/>
    <col min="2" max="2" width="10.44140625" style="115" bestFit="1" customWidth="1"/>
    <col min="3" max="3" width="6.77734375" style="115" bestFit="1" customWidth="1"/>
    <col min="4" max="4" width="5.5546875" style="115" bestFit="1" customWidth="1"/>
    <col min="5" max="5" width="8.33203125" style="115" bestFit="1" customWidth="1"/>
    <col min="6" max="6" width="4.21875" style="115" bestFit="1" customWidth="1"/>
    <col min="7" max="7" width="10" style="115" bestFit="1" customWidth="1"/>
    <col min="8" max="10" width="7" style="115" bestFit="1" customWidth="1"/>
    <col min="11" max="11" width="10.5546875" style="115" bestFit="1" customWidth="1"/>
    <col min="12" max="12" width="18.109375" style="115" bestFit="1" customWidth="1"/>
    <col min="13" max="13" width="7.6640625" style="115" bestFit="1" customWidth="1" outlineLevel="1"/>
    <col min="14" max="14" width="6.33203125" style="115" bestFit="1" customWidth="1" outlineLevel="1"/>
    <col min="15" max="15" width="8" style="115" bestFit="1" customWidth="1" outlineLevel="1"/>
    <col min="16" max="16" width="13.6640625" style="115" bestFit="1" customWidth="1"/>
    <col min="17" max="24" width="3.88671875" style="115" bestFit="1" customWidth="1"/>
    <col min="25" max="25" width="4.44140625" style="115" bestFit="1" customWidth="1"/>
    <col min="26" max="26" width="4.109375" style="115" bestFit="1" customWidth="1"/>
    <col min="27" max="27" width="5" style="115" bestFit="1" customWidth="1"/>
    <col min="28" max="36" width="3.88671875" style="115" bestFit="1" customWidth="1"/>
    <col min="37" max="16384" width="8.88671875" style="115"/>
  </cols>
  <sheetData>
    <row r="1" spans="1:36" x14ac:dyDescent="0.3">
      <c r="A1" s="114" t="s">
        <v>72</v>
      </c>
      <c r="B1" s="114" t="s">
        <v>73</v>
      </c>
      <c r="C1" s="114" t="s">
        <v>74</v>
      </c>
      <c r="D1" s="114" t="s">
        <v>23</v>
      </c>
      <c r="E1" s="114" t="s">
        <v>75</v>
      </c>
      <c r="F1" s="114" t="s">
        <v>76</v>
      </c>
      <c r="G1" s="114" t="s">
        <v>16</v>
      </c>
      <c r="H1" s="114" t="s">
        <v>77</v>
      </c>
      <c r="I1" s="114" t="s">
        <v>78</v>
      </c>
      <c r="J1" s="114" t="s">
        <v>79</v>
      </c>
      <c r="K1" s="114" t="s">
        <v>80</v>
      </c>
      <c r="L1" s="114" t="s">
        <v>18</v>
      </c>
      <c r="M1" s="114" t="s">
        <v>20</v>
      </c>
      <c r="N1" s="114" t="s">
        <v>21</v>
      </c>
      <c r="O1" s="114" t="s">
        <v>19</v>
      </c>
      <c r="P1" s="114" t="s">
        <v>22</v>
      </c>
      <c r="Q1" s="114" t="s">
        <v>81</v>
      </c>
      <c r="R1" s="114" t="s">
        <v>82</v>
      </c>
      <c r="S1" s="114" t="s">
        <v>83</v>
      </c>
      <c r="T1" s="114" t="s">
        <v>84</v>
      </c>
      <c r="U1" s="114" t="s">
        <v>85</v>
      </c>
      <c r="V1" s="114" t="s">
        <v>86</v>
      </c>
      <c r="W1" s="114" t="s">
        <v>87</v>
      </c>
      <c r="X1" s="114" t="s">
        <v>88</v>
      </c>
      <c r="Y1" s="114" t="s">
        <v>89</v>
      </c>
      <c r="Z1" s="114" t="s">
        <v>90</v>
      </c>
      <c r="AA1" s="114" t="s">
        <v>91</v>
      </c>
      <c r="AB1" s="114" t="s">
        <v>92</v>
      </c>
      <c r="AC1" s="114" t="s">
        <v>93</v>
      </c>
      <c r="AD1" s="114" t="s">
        <v>94</v>
      </c>
      <c r="AE1" s="114" t="s">
        <v>95</v>
      </c>
      <c r="AF1" s="114" t="s">
        <v>96</v>
      </c>
      <c r="AG1" s="114" t="s">
        <v>97</v>
      </c>
      <c r="AH1" s="114" t="s">
        <v>98</v>
      </c>
      <c r="AI1" s="114" t="s">
        <v>99</v>
      </c>
      <c r="AJ1" s="114" t="s">
        <v>100</v>
      </c>
    </row>
    <row r="2" spans="1:36" x14ac:dyDescent="0.3">
      <c r="A2" s="116" t="s">
        <v>110</v>
      </c>
      <c r="B2" s="117">
        <v>45989</v>
      </c>
      <c r="C2" s="118" t="s">
        <v>144</v>
      </c>
      <c r="D2" s="119" t="s">
        <v>155</v>
      </c>
      <c r="E2" s="118" t="s">
        <v>141</v>
      </c>
      <c r="F2" s="118" t="s">
        <v>103</v>
      </c>
      <c r="G2" s="120">
        <v>0.27379999999999999</v>
      </c>
      <c r="H2" s="121">
        <v>168</v>
      </c>
      <c r="I2" s="121">
        <v>46</v>
      </c>
      <c r="J2" s="121">
        <v>0</v>
      </c>
      <c r="K2" s="118" t="s">
        <v>104</v>
      </c>
      <c r="L2" s="122" t="s">
        <v>36</v>
      </c>
      <c r="M2" s="121">
        <v>4</v>
      </c>
      <c r="N2" s="121">
        <v>2</v>
      </c>
      <c r="O2" s="121">
        <v>13</v>
      </c>
      <c r="P2" s="118" t="s">
        <v>145</v>
      </c>
      <c r="Q2" s="114"/>
      <c r="R2" s="114"/>
      <c r="S2" s="114"/>
      <c r="T2" s="114"/>
      <c r="U2" s="114"/>
      <c r="V2" s="114"/>
      <c r="W2" s="114"/>
      <c r="X2" s="121" t="s">
        <v>156</v>
      </c>
      <c r="Y2" s="121" t="s">
        <v>157</v>
      </c>
      <c r="Z2" s="121" t="s">
        <v>158</v>
      </c>
      <c r="AA2" s="121" t="s">
        <v>159</v>
      </c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6" x14ac:dyDescent="0.3">
      <c r="A3" s="116" t="s">
        <v>110</v>
      </c>
      <c r="B3" s="117">
        <v>45996</v>
      </c>
      <c r="C3" s="118" t="s">
        <v>144</v>
      </c>
      <c r="D3" s="119" t="s">
        <v>155</v>
      </c>
      <c r="E3" s="118" t="s">
        <v>141</v>
      </c>
      <c r="F3" s="118" t="s">
        <v>103</v>
      </c>
      <c r="G3" s="120">
        <v>0.1845</v>
      </c>
      <c r="H3" s="121">
        <v>168</v>
      </c>
      <c r="I3" s="121">
        <v>31</v>
      </c>
      <c r="J3" s="121">
        <v>0</v>
      </c>
      <c r="K3" s="118" t="s">
        <v>104</v>
      </c>
      <c r="L3" s="122" t="s">
        <v>147</v>
      </c>
      <c r="M3" s="121">
        <v>0</v>
      </c>
      <c r="N3" s="121">
        <v>1</v>
      </c>
      <c r="O3" s="121">
        <v>7</v>
      </c>
      <c r="P3" s="118" t="s">
        <v>145</v>
      </c>
      <c r="Q3" s="114"/>
      <c r="R3" s="114"/>
      <c r="S3" s="114"/>
      <c r="T3" s="114"/>
      <c r="U3" s="114"/>
      <c r="V3" s="114"/>
      <c r="W3" s="114"/>
      <c r="X3" s="114"/>
      <c r="Y3" s="121" t="s">
        <v>160</v>
      </c>
      <c r="Z3" s="121" t="s">
        <v>105</v>
      </c>
      <c r="AA3" s="121" t="s">
        <v>161</v>
      </c>
      <c r="AB3" s="121" t="s">
        <v>130</v>
      </c>
      <c r="AC3" s="121" t="s">
        <v>43</v>
      </c>
      <c r="AD3" s="114"/>
      <c r="AE3" s="121" t="s">
        <v>162</v>
      </c>
      <c r="AF3" s="114"/>
      <c r="AG3" s="114"/>
      <c r="AH3" s="114"/>
      <c r="AI3" s="114"/>
      <c r="AJ3" s="114"/>
    </row>
    <row r="4" spans="1:36" ht="21" x14ac:dyDescent="0.3">
      <c r="A4" s="123" t="s">
        <v>165</v>
      </c>
      <c r="B4" s="124"/>
      <c r="C4" s="123">
        <f>SUBTOTAL(103,AHB_ATZ_LF_LEGACY[Flt])</f>
        <v>2</v>
      </c>
      <c r="D4" s="123"/>
      <c r="E4" s="123">
        <f>SUBTOTAL(103,AHB_ATZ_LF_LEGACY[Brd-Off])</f>
        <v>2</v>
      </c>
      <c r="F4" s="123"/>
      <c r="G4" s="125">
        <f>SUBTOTAL(101,AHB_ATZ_LF_LEGACY[LF%])</f>
        <v>0.22914999999999999</v>
      </c>
      <c r="H4" s="126">
        <f>SUBTOTAL(109,AHB_ATZ_LF_LEGACY[CAP])</f>
        <v>336</v>
      </c>
      <c r="I4" s="126">
        <f>SUBTOTAL(109,AHB_ATZ_LF_LEGACY[BKG(Y)])</f>
        <v>77</v>
      </c>
      <c r="J4" s="126">
        <f>SUBTOTAL(109,AHB_ATZ_LF_LEGACY[GRP(Y)])</f>
        <v>0</v>
      </c>
      <c r="K4" s="123"/>
      <c r="L4" s="124"/>
      <c r="M4" s="126">
        <f>SUBTOTAL(109,AHB_ATZ_LF_LEGACY[TO-DAY])</f>
        <v>4</v>
      </c>
      <c r="N4" s="126">
        <f>SUBTOTAL(109,AHB_ATZ_LF_LEGACY[Y-DAY])</f>
        <v>3</v>
      </c>
      <c r="O4" s="126">
        <f>SUBTOTAL(109,AHB_ATZ_LF_LEGACY[WEEKLY])</f>
        <v>20</v>
      </c>
      <c r="P4" s="127"/>
      <c r="Q4" s="126">
        <f>SUBTOTAL(109,AHB_ATZ_LF_LEGACY[Y])</f>
        <v>0</v>
      </c>
      <c r="R4" s="126">
        <f>SUBTOTAL(109,AHB_ATZ_LF_LEGACY[B])</f>
        <v>0</v>
      </c>
      <c r="S4" s="126">
        <f>SUBTOTAL(109,AHB_ATZ_LF_LEGACY[M])</f>
        <v>0</v>
      </c>
      <c r="T4" s="126">
        <f>SUBTOTAL(109,AHB_ATZ_LF_LEGACY[H])</f>
        <v>0</v>
      </c>
      <c r="U4" s="126">
        <f>SUBTOTAL(109,AHB_ATZ_LF_LEGACY[Q])</f>
        <v>0</v>
      </c>
      <c r="V4" s="126">
        <f>SUBTOTAL(109,AHB_ATZ_LF_LEGACY[K])</f>
        <v>0</v>
      </c>
      <c r="W4" s="126">
        <f>SUBTOTAL(109,AHB_ATZ_LF_LEGACY[V])</f>
        <v>0</v>
      </c>
      <c r="X4" s="126">
        <f>SUBTOTAL(109,AHB_ATZ_LF_LEGACY[L])</f>
        <v>0</v>
      </c>
      <c r="Y4" s="126">
        <f>SUBTOTAL(109,AHB_ATZ_LF_LEGACY[G])</f>
        <v>0</v>
      </c>
      <c r="Z4" s="126">
        <f>SUBTOTAL(109,AHB_ATZ_LF_LEGACY[S])</f>
        <v>0</v>
      </c>
      <c r="AA4" s="126">
        <f>SUBTOTAL(109,AHB_ATZ_LF_LEGACY[W])</f>
        <v>0</v>
      </c>
      <c r="AB4" s="126">
        <f>SUBTOTAL(109,AHB_ATZ_LF_LEGACY[T])</f>
        <v>0</v>
      </c>
      <c r="AC4" s="126">
        <f>SUBTOTAL(109,AHB_ATZ_LF_LEGACY[X])</f>
        <v>0</v>
      </c>
      <c r="AD4" s="126">
        <f>SUBTOTAL(109,AHB_ATZ_LF_LEGACY[U])</f>
        <v>0</v>
      </c>
      <c r="AE4" s="126">
        <f>SUBTOTAL(109,AHB_ATZ_LF_LEGACY[O])</f>
        <v>0</v>
      </c>
      <c r="AF4" s="126">
        <f>SUBTOTAL(109,AHB_ATZ_LF_LEGACY[I])</f>
        <v>0</v>
      </c>
      <c r="AG4" s="126">
        <f>SUBTOTAL(109,AHB_ATZ_LF_LEGACY[E])</f>
        <v>0</v>
      </c>
      <c r="AH4" s="126">
        <f>SUBTOTAL(109,AHB_ATZ_LF_LEGACY[A])</f>
        <v>0</v>
      </c>
      <c r="AI4" s="126">
        <f>SUBTOTAL(109,AHB_ATZ_LF_LEGACY[P])</f>
        <v>0</v>
      </c>
      <c r="AJ4" s="126">
        <f>SUBTOTAL(103,AHB_ATZ_LF_LEGACY[N])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77734375" bestFit="1" customWidth="1"/>
    <col min="7" max="7" width="20" bestFit="1" customWidth="1"/>
    <col min="8" max="8" width="23.6640625" bestFit="1" customWidth="1"/>
    <col min="9" max="9" width="170.5546875" hidden="1" customWidth="1"/>
  </cols>
  <sheetData>
    <row r="1" spans="1:8" ht="18" x14ac:dyDescent="0.3">
      <c r="A1" s="50" t="s">
        <v>136</v>
      </c>
      <c r="B1" s="51" t="s">
        <v>8</v>
      </c>
      <c r="C1" s="51" t="s">
        <v>9</v>
      </c>
      <c r="D1" s="51" t="s">
        <v>137</v>
      </c>
      <c r="E1" s="51" t="s">
        <v>10</v>
      </c>
      <c r="F1" s="51" t="s">
        <v>11</v>
      </c>
      <c r="G1" s="51" t="s">
        <v>12</v>
      </c>
      <c r="H1" s="52" t="s">
        <v>13</v>
      </c>
    </row>
    <row r="2" spans="1:8" ht="19.8" customHeight="1" x14ac:dyDescent="0.3">
      <c r="A2" s="93" t="s">
        <v>163</v>
      </c>
      <c r="B2" s="74" t="s">
        <v>31</v>
      </c>
      <c r="C2" s="75" t="s">
        <v>142</v>
      </c>
      <c r="D2" s="74" t="s">
        <v>141</v>
      </c>
      <c r="E2" s="74" t="s">
        <v>155</v>
      </c>
      <c r="F2" s="74" t="s">
        <v>28</v>
      </c>
      <c r="G2" s="77">
        <v>9</v>
      </c>
      <c r="H2" s="78">
        <v>786</v>
      </c>
    </row>
    <row r="3" spans="1:8" ht="19.8" customHeight="1" x14ac:dyDescent="0.3">
      <c r="A3" s="73">
        <v>45996</v>
      </c>
      <c r="B3" s="74" t="s">
        <v>31</v>
      </c>
      <c r="C3" s="75" t="s">
        <v>142</v>
      </c>
      <c r="D3" s="74" t="s">
        <v>141</v>
      </c>
      <c r="E3" s="76">
        <v>1.760416666666667</v>
      </c>
      <c r="F3" s="74" t="s">
        <v>28</v>
      </c>
      <c r="G3" s="77">
        <v>9</v>
      </c>
      <c r="H3" s="78">
        <v>786</v>
      </c>
    </row>
    <row r="4" spans="1:8" ht="19.8" customHeight="1" x14ac:dyDescent="0.3">
      <c r="A4" s="94"/>
      <c r="B4" s="95"/>
      <c r="C4" s="95"/>
      <c r="D4" s="95"/>
      <c r="E4" s="95"/>
      <c r="F4" s="96" t="s">
        <v>164</v>
      </c>
      <c r="G4" s="95"/>
      <c r="H4" s="97"/>
    </row>
    <row r="5" spans="1:8" ht="19.8" customHeight="1" x14ac:dyDescent="0.3">
      <c r="A5" s="63">
        <v>45997</v>
      </c>
      <c r="B5" s="54" t="s">
        <v>31</v>
      </c>
      <c r="C5" s="55" t="s">
        <v>150</v>
      </c>
      <c r="D5" s="54" t="s">
        <v>1</v>
      </c>
      <c r="E5" s="64">
        <v>1.9375</v>
      </c>
      <c r="F5" s="54" t="s">
        <v>152</v>
      </c>
      <c r="G5" s="56">
        <v>9</v>
      </c>
      <c r="H5" s="98" t="s">
        <v>154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AHB-CAI</vt:lpstr>
      <vt:lpstr>AHB-CAI LF LEGACY</vt:lpstr>
      <vt:lpstr>AHB-CAI - FOCUS MODE</vt:lpstr>
      <vt:lpstr>AHB-ATZ</vt:lpstr>
      <vt:lpstr>AHB-ATZ LF LEGACY</vt:lpstr>
      <vt:lpstr>AHB-ATZ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2025-11-21T16:51:21Z</dcterms:created>
  <dcterms:modified xsi:type="dcterms:W3CDTF">2025-11-21T16:51:30Z</dcterms:modified>
</cp:coreProperties>
</file>