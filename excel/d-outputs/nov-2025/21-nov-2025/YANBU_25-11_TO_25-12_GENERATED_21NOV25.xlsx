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62DD988-9B8C-4FD1-820B-AFBC9DAC8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NB-CAI" sheetId="1" r:id="rId1"/>
    <sheet name="YNB-CAI LF LEGACY" sheetId="2" r:id="rId2"/>
    <sheet name="YNB-CAI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2" l="1"/>
  <c r="E18" i="2"/>
  <c r="G18" i="2"/>
  <c r="H18" i="2"/>
  <c r="I18" i="2"/>
  <c r="J18" i="2"/>
  <c r="M18" i="2"/>
  <c r="N18" i="2"/>
  <c r="O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72A7DCBC-3390-4AB3-B3C9-FC59E2EEB47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S3 &amp; X5 &amp; P159</t>
        </r>
      </text>
    </comment>
    <comment ref="F5" authorId="0" shapeId="0" xr:uid="{CE57F899-7D67-493C-8FF0-C0CDEB691D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 &amp; T13 &amp; X3 &amp; U4 &amp; O1 &amp; I15 &amp; P117</t>
        </r>
      </text>
    </comment>
    <comment ref="F7" authorId="0" shapeId="0" xr:uid="{8D4DF3B1-8EE4-40A2-9A14-AE2F4D27E8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 &amp; W6 &amp; T1 &amp; X21 &amp; P137</t>
        </r>
      </text>
    </comment>
    <comment ref="F8" authorId="0" shapeId="0" xr:uid="{2078BA82-58AA-4DA9-A92A-00DF285780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 &amp; S1 &amp; W7 &amp; T20 &amp; X10 &amp; U32 &amp; O9 &amp; I28 &amp; P40</t>
        </r>
      </text>
    </comment>
    <comment ref="F9" authorId="0" shapeId="0" xr:uid="{FF53AFE9-B22F-4902-9078-D007D4B1A9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G11 &amp; W2 &amp; X7 &amp; U1 &amp; O6 &amp; I4 &amp; P137</t>
        </r>
      </text>
    </comment>
    <comment ref="F10" authorId="0" shapeId="0" xr:uid="{CA8C2AC0-DDD1-4A4A-ABDF-38D24C13D4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W2 &amp; T6 &amp; X7 &amp; U18 &amp; O20 &amp; I29 &amp; P89</t>
        </r>
      </text>
    </comment>
    <comment ref="F11" authorId="0" shapeId="0" xr:uid="{6C2B9F04-3F0A-415E-AE88-A8CC5C12DD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W16 &amp; I7 &amp; P130</t>
        </r>
      </text>
    </comment>
    <comment ref="F14" authorId="0" shapeId="0" xr:uid="{6D0FC1BD-3BD8-436E-9F4B-AB68053F98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H8]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W9 &amp; P156</t>
        </r>
      </text>
    </comment>
    <comment ref="F15" authorId="0" shapeId="0" xr:uid="{9C0BCB30-3CA3-4BD2-BF98-9AD6D3BEFD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W6 &amp; T2 &amp; X5 &amp; P106</t>
        </r>
      </text>
    </comment>
    <comment ref="F19" authorId="0" shapeId="0" xr:uid="{69E74303-5B46-4CB3-A7BD-6CEB03C11B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W9 &amp; P158 &amp; N2</t>
        </r>
      </text>
    </comment>
    <comment ref="F20" authorId="0" shapeId="0" xr:uid="{91386BA8-1028-4D17-BDBA-E7695E393DB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W3 &amp; T7 &amp; X8 &amp; U10 &amp; O45 &amp; I5 &amp; P85</t>
        </r>
      </text>
    </comment>
    <comment ref="F21" authorId="0" shapeId="0" xr:uid="{0CCDEC18-04F7-4180-975A-C09A3402C9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W7 &amp; E49 &amp; P120</t>
        </r>
      </text>
    </comment>
    <comment ref="F22" authorId="0" shapeId="0" xr:uid="{A90AF989-14E3-4410-BB70-F2046D6F20F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 &amp; P162</t>
        </r>
      </text>
    </comment>
    <comment ref="F23" authorId="0" shapeId="0" xr:uid="{284C3F4F-97C4-4372-B3A4-91D40707D9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S3 &amp; W9 &amp; P129</t>
        </r>
      </text>
    </comment>
    <comment ref="F25" authorId="0" shapeId="0" xr:uid="{DBDE34E3-8614-4B8F-BC98-976BE941D8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W13 &amp; P143</t>
        </r>
      </text>
    </comment>
    <comment ref="F26" authorId="0" shapeId="0" xr:uid="{713B6D7C-8498-4DB9-99F6-3E786FDA8B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W5 &amp; P165</t>
        </r>
      </text>
    </comment>
  </commentList>
</comments>
</file>

<file path=xl/sharedStrings.xml><?xml version="1.0" encoding="utf-8"?>
<sst xmlns="http://schemas.openxmlformats.org/spreadsheetml/2006/main" count="874" uniqueCount="206">
  <si>
    <t>COMPREHENSIVE REPORT</t>
  </si>
  <si>
    <t>YNB-CAI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</si>
  <si>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</si>
  <si>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</si>
  <si>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</si>
  <si>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</si>
  <si>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</si>
  <si>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</si>
  <si>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</si>
  <si>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</si>
  <si>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</si>
  <si>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</si>
  <si>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</si>
  <si>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</si>
  <si>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</si>
  <si>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</si>
  <si>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</si>
  <si>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</si>
  <si>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</si>
  <si>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</si>
  <si>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</si>
  <si>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</si>
  <si>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</si>
  <si>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</si>
  <si>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</si>
  <si>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</si>
  <si>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</si>
  <si>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NP-104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</si>
  <si>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</si>
  <si>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</si>
  <si>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471 SAR</t>
  </si>
  <si>
    <t>Air Cairo</t>
  </si>
  <si>
    <t>SM-442</t>
  </si>
  <si>
    <t>988 SAR</t>
  </si>
  <si>
    <t>SM442</t>
  </si>
  <si>
    <t>2025-11-17 00:00:00</t>
  </si>
  <si>
    <t>L9</t>
  </si>
  <si>
    <t>L3 &amp; S3 &amp; X5 &amp; P159</t>
  </si>
  <si>
    <t>Nesma Airlines</t>
  </si>
  <si>
    <t>NE-181</t>
  </si>
  <si>
    <t>Cabin: 7 KG | Check-in: 30 KG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</si>
  <si>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</si>
  <si>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745 SAR</t>
  </si>
  <si>
    <t>748 SAR</t>
  </si>
  <si>
    <t>2025-11-19 00:00:00</t>
  </si>
  <si>
    <t>S9</t>
  </si>
  <si>
    <t>W1 &amp; T13 &amp; X3 &amp; U4 &amp; O1 &amp; I15 &amp; P117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</si>
  <si>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</si>
  <si>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1,318 SAR</t>
  </si>
  <si>
    <t>2025-11-20 00:00:00</t>
  </si>
  <si>
    <t>K8</t>
  </si>
  <si>
    <t>K3 &amp; V3 &amp; W6 &amp; T1 &amp; X21 &amp; P137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</si>
  <si>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</si>
  <si>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628 SAR</t>
  </si>
  <si>
    <t>2025-11-21 00:00:00</t>
  </si>
  <si>
    <t>W3</t>
  </si>
  <si>
    <t>V2 &amp; S1 &amp; W7 &amp; T20 &amp; X10 &amp; U32 &amp; O9 &amp; I28 &amp; P40</t>
  </si>
  <si>
    <t>868 SAR</t>
  </si>
  <si>
    <t>G8</t>
  </si>
  <si>
    <t>Y1 &amp; G11 &amp; W2 &amp; X7 &amp; U1 &amp; O6 &amp; I4 &amp; P137</t>
  </si>
  <si>
    <t>30KG + 7KG CABIN</t>
  </si>
  <si>
    <t>FULLY BOOKED</t>
  </si>
  <si>
    <t>CLOSED</t>
  </si>
  <si>
    <t>S2 &amp; W2 &amp; T6 &amp; X7 &amp; U18 &amp; O20 &amp; I29 &amp; P89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</si>
  <si>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</si>
  <si>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W6</t>
  </si>
  <si>
    <t>S5 &amp; W16 &amp; I7 &amp; P130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</si>
  <si>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</si>
  <si>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521 SAR</t>
  </si>
  <si>
    <t>1,858 SAR</t>
  </si>
  <si>
    <t>2025-11-15 00:00:00</t>
  </si>
  <si>
    <t>H8</t>
  </si>
  <si>
    <t>S2 &amp; W9 &amp; P156</t>
  </si>
  <si>
    <t>538 SAR</t>
  </si>
  <si>
    <t>T3</t>
  </si>
  <si>
    <t>S3 &amp; W6 &amp; T2 &amp; X5 &amp; P106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</si>
  <si>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</si>
  <si>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</si>
  <si>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550 SAR</t>
  </si>
  <si>
    <t>2,278 SAR</t>
  </si>
  <si>
    <t>M1</t>
  </si>
  <si>
    <t>W9 &amp; P158 &amp; N2</t>
  </si>
  <si>
    <t>S1</t>
  </si>
  <si>
    <t>S4 &amp; W3 &amp; T7 &amp; X8 &amp; U10 &amp; O45 &amp; I5 &amp; P85</t>
  </si>
  <si>
    <t>S2 &amp; W7 &amp; E49 &amp; P120</t>
  </si>
  <si>
    <t>G9</t>
  </si>
  <si>
    <t>G2 &amp; S1 &amp; P162</t>
  </si>
  <si>
    <t>G1 &amp; S3 &amp; W9 &amp; P129</t>
  </si>
  <si>
    <t>571 SAR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</si>
  <si>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</si>
  <si>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W5</t>
  </si>
  <si>
    <t>W13 &amp; P143</t>
  </si>
  <si>
    <t>G5</t>
  </si>
  <si>
    <t>S4 &amp; W5 &amp; P165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</si>
  <si>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</si>
  <si>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</si>
  <si>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</si>
  <si>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</si>
  <si>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</si>
  <si>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</si>
  <si>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</si>
  <si>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</si>
  <si>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</si>
  <si>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</si>
  <si>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</si>
  <si>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</si>
  <si>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</si>
  <si>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</si>
  <si>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</si>
  <si>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</si>
  <si>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</si>
  <si>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</si>
  <si>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</si>
  <si>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</si>
  <si>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</si>
  <si>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</si>
  <si>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</si>
  <si>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</si>
  <si>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</si>
  <si>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</si>
  <si>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</si>
  <si>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</si>
  <si>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</si>
  <si>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</si>
  <si>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23:50</t>
  </si>
  <si>
    <t>320</t>
  </si>
  <si>
    <t>UPCOMING</t>
  </si>
  <si>
    <t>L3</t>
  </si>
  <si>
    <t>S3</t>
  </si>
  <si>
    <t>X5</t>
  </si>
  <si>
    <t>P159</t>
  </si>
  <si>
    <t>WEDNESDAY</t>
  </si>
  <si>
    <t>23:40</t>
  </si>
  <si>
    <t>W1</t>
  </si>
  <si>
    <t>T13</t>
  </si>
  <si>
    <t>X3</t>
  </si>
  <si>
    <t>U4</t>
  </si>
  <si>
    <t>O1</t>
  </si>
  <si>
    <t>I15</t>
  </si>
  <si>
    <t>P117</t>
  </si>
  <si>
    <t>THURSDAY</t>
  </si>
  <si>
    <t>14:20</t>
  </si>
  <si>
    <t>K3</t>
  </si>
  <si>
    <t>V3</t>
  </si>
  <si>
    <t>T1</t>
  </si>
  <si>
    <t>X21</t>
  </si>
  <si>
    <t>P137</t>
  </si>
  <si>
    <t>FRIDAY</t>
  </si>
  <si>
    <t>07:50</t>
  </si>
  <si>
    <t>V2</t>
  </si>
  <si>
    <t>W7</t>
  </si>
  <si>
    <t>T20</t>
  </si>
  <si>
    <t>X10</t>
  </si>
  <si>
    <t>U32</t>
  </si>
  <si>
    <t>O9</t>
  </si>
  <si>
    <t>I28</t>
  </si>
  <si>
    <t>P40</t>
  </si>
  <si>
    <t>SATURDAY</t>
  </si>
  <si>
    <t>06:50</t>
  </si>
  <si>
    <t>Y1</t>
  </si>
  <si>
    <t>G11</t>
  </si>
  <si>
    <t>W2</t>
  </si>
  <si>
    <t>X7</t>
  </si>
  <si>
    <t>U1</t>
  </si>
  <si>
    <t>O6</t>
  </si>
  <si>
    <t>I4</t>
  </si>
  <si>
    <t>SUNDAY</t>
  </si>
  <si>
    <t>09:00</t>
  </si>
  <si>
    <t>S2</t>
  </si>
  <si>
    <t>T6</t>
  </si>
  <si>
    <t>U18</t>
  </si>
  <si>
    <t>O20</t>
  </si>
  <si>
    <t>I29</t>
  </si>
  <si>
    <t>P89</t>
  </si>
  <si>
    <t>MONDAY</t>
  </si>
  <si>
    <t>S5</t>
  </si>
  <si>
    <t>W16</t>
  </si>
  <si>
    <t>I7</t>
  </si>
  <si>
    <t>P130</t>
  </si>
  <si>
    <t>W9</t>
  </si>
  <si>
    <t>P156</t>
  </si>
  <si>
    <t>T2</t>
  </si>
  <si>
    <t>P106</t>
  </si>
  <si>
    <t>P158</t>
  </si>
  <si>
    <t>N2</t>
  </si>
  <si>
    <t>S4</t>
  </si>
  <si>
    <t>T7</t>
  </si>
  <si>
    <t>X8</t>
  </si>
  <si>
    <t>U10</t>
  </si>
  <si>
    <t>O45</t>
  </si>
  <si>
    <t>I5</t>
  </si>
  <si>
    <t>P85</t>
  </si>
  <si>
    <t>E49</t>
  </si>
  <si>
    <t>P120</t>
  </si>
  <si>
    <t>G2</t>
  </si>
  <si>
    <t>P162</t>
  </si>
  <si>
    <t>G1</t>
  </si>
  <si>
    <t>P129</t>
  </si>
  <si>
    <t>W13</t>
  </si>
  <si>
    <t>P143</t>
  </si>
  <si>
    <t>P165</t>
  </si>
  <si>
    <t>DATE</t>
  </si>
  <si>
    <t>ROUTE</t>
  </si>
  <si>
    <t>2025-11-25</t>
  </si>
  <si>
    <t>04:15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</si>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</sst>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3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b/>
      <i/>
      <sz val="13"/>
      <name val="Calibri"/>
    </font>
    <font>
      <b/>
      <i/>
      <sz val="11"/>
      <color rgb="FF006100"/>
      <name val="Calibri"/>
    </font>
    <font>
      <b/>
      <i/>
      <sz val="11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167" fontId="11" fillId="8" borderId="9" xfId="0" applyNumberFormat="1" applyFont="1" applyFill="1" applyBorder="1" applyAlignment="1">
      <alignment horizontal="center" vertical="center"/>
    </xf>
    <xf numFmtId="168" fontId="10" fillId="8" borderId="9" xfId="0" applyNumberFormat="1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67" fontId="11" fillId="10" borderId="9" xfId="0" applyNumberFormat="1" applyFont="1" applyFill="1" applyBorder="1" applyAlignment="1">
      <alignment horizontal="center" vertical="center"/>
    </xf>
    <xf numFmtId="168" fontId="10" fillId="10" borderId="9" xfId="0" applyNumberFormat="1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167" fontId="11" fillId="11" borderId="9" xfId="0" applyNumberFormat="1" applyFont="1" applyFill="1" applyBorder="1" applyAlignment="1">
      <alignment horizontal="center" vertical="center"/>
    </xf>
    <xf numFmtId="168" fontId="10" fillId="11" borderId="9" xfId="0" applyNumberFormat="1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167" fontId="11" fillId="12" borderId="9" xfId="0" applyNumberFormat="1" applyFont="1" applyFill="1" applyBorder="1" applyAlignment="1">
      <alignment horizontal="center" vertical="center"/>
    </xf>
    <xf numFmtId="168" fontId="10" fillId="12" borderId="9" xfId="0" applyNumberFormat="1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167" fontId="11" fillId="13" borderId="9" xfId="0" applyNumberFormat="1" applyFont="1" applyFill="1" applyBorder="1" applyAlignment="1">
      <alignment horizontal="center" vertical="center"/>
    </xf>
    <xf numFmtId="168" fontId="10" fillId="13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167" fontId="12" fillId="8" borderId="13" xfId="0" applyNumberFormat="1" applyFont="1" applyFill="1" applyBorder="1" applyAlignment="1">
      <alignment horizontal="center" vertical="center"/>
    </xf>
    <xf numFmtId="168" fontId="10" fillId="8" borderId="13" xfId="0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167" fontId="11" fillId="14" borderId="9" xfId="0" applyNumberFormat="1" applyFont="1" applyFill="1" applyBorder="1" applyAlignment="1">
      <alignment horizontal="center" vertical="center"/>
    </xf>
    <xf numFmtId="168" fontId="10" fillId="14" borderId="9" xfId="0" applyNumberFormat="1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167" fontId="12" fillId="10" borderId="9" xfId="0" applyNumberFormat="1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13" fillId="15" borderId="23" xfId="0" applyFont="1" applyFill="1" applyBorder="1" applyAlignment="1">
      <alignment horizontal="center" vertical="center"/>
    </xf>
    <xf numFmtId="0" fontId="13" fillId="15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1" fontId="14" fillId="0" borderId="26" xfId="0" applyNumberFormat="1" applyFont="1" applyBorder="1" applyAlignment="1">
      <alignment horizontal="center" vertical="center"/>
    </xf>
    <xf numFmtId="171" fontId="14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71" fontId="15" fillId="0" borderId="30" xfId="0" applyNumberFormat="1" applyFont="1" applyBorder="1" applyAlignment="1">
      <alignment horizontal="center" vertical="center"/>
    </xf>
    <xf numFmtId="172" fontId="14" fillId="0" borderId="25" xfId="0" applyNumberFormat="1" applyFont="1" applyBorder="1" applyAlignment="1">
      <alignment horizontal="center" vertical="center"/>
    </xf>
    <xf numFmtId="173" fontId="14" fillId="0" borderId="26" xfId="0" applyNumberFormat="1" applyFont="1" applyBorder="1" applyAlignment="1">
      <alignment horizontal="center" vertical="center"/>
    </xf>
    <xf numFmtId="172" fontId="15" fillId="0" borderId="28" xfId="0" applyNumberFormat="1" applyFont="1" applyBorder="1" applyAlignment="1">
      <alignment horizontal="center" vertical="center"/>
    </xf>
    <xf numFmtId="173" fontId="15" fillId="0" borderId="29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173" fontId="15" fillId="0" borderId="26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171" fontId="15" fillId="0" borderId="27" xfId="0" applyNumberFormat="1" applyFont="1" applyBorder="1" applyAlignment="1">
      <alignment horizontal="center" vertical="center"/>
    </xf>
    <xf numFmtId="172" fontId="14" fillId="0" borderId="28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71" fontId="14" fillId="0" borderId="30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70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15" fontId="19" fillId="16" borderId="0" xfId="0" applyNumberFormat="1" applyFont="1" applyFill="1" applyAlignment="1">
      <alignment horizontal="center" vertical="center"/>
    </xf>
    <xf numFmtId="167" fontId="19" fillId="16" borderId="0" xfId="0" applyNumberFormat="1" applyFont="1" applyFill="1" applyAlignment="1">
      <alignment horizontal="center" vertical="center"/>
    </xf>
    <xf numFmtId="1" fontId="19" fillId="16" borderId="0" xfId="0" applyNumberFormat="1" applyFont="1" applyFill="1" applyAlignment="1">
      <alignment horizontal="center" vertical="center"/>
    </xf>
    <xf numFmtId="0" fontId="19" fillId="16" borderId="0" xfId="0" applyNumberFormat="1" applyFont="1" applyFill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NB_CAI_LF_LEGACY" displayName="YNB_CAI_LF_LEGACY" ref="A1:AJ1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YNB_CAI" displayName="FocusMode_YNB_CAI" ref="A1:H26" totalsRowShown="0">
  <autoFilter ref="A1:H2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workbookViewId="0">
      <selection sqref="A1:E1"/>
    </sheetView>
  </sheetViews>
  <sheetFormatPr defaultRowHeight="14.4" x14ac:dyDescent="0.3"/>
  <cols>
    <col min="1" max="1" width="17.886718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55.88671875" bestFit="1" customWidth="1"/>
  </cols>
  <sheetData>
    <row r="1" spans="1:18" ht="25.05" customHeight="1" x14ac:dyDescent="0.3">
      <c r="A1" s="97" t="s">
        <v>0</v>
      </c>
      <c r="B1" s="95"/>
      <c r="C1" s="95"/>
      <c r="D1" s="95"/>
      <c r="E1" s="95"/>
      <c r="F1" s="1" t="s">
        <v>1</v>
      </c>
      <c r="G1" s="2" t="s">
        <v>2</v>
      </c>
      <c r="H1" s="96">
        <v>45986</v>
      </c>
      <c r="I1" s="95"/>
      <c r="J1" s="95"/>
      <c r="K1" s="95"/>
      <c r="L1" s="95"/>
      <c r="M1" s="1" t="s">
        <v>3</v>
      </c>
      <c r="N1" s="101">
        <v>46001</v>
      </c>
      <c r="O1" s="95"/>
      <c r="P1" s="95"/>
      <c r="Q1" s="95"/>
      <c r="R1" s="95"/>
    </row>
    <row r="2" spans="1:18" ht="18" customHeight="1" x14ac:dyDescent="0.3">
      <c r="A2" s="98" t="s">
        <v>4</v>
      </c>
      <c r="B2" s="95"/>
      <c r="C2" s="95"/>
      <c r="D2" s="95"/>
      <c r="E2" s="95"/>
      <c r="F2" s="95"/>
      <c r="G2" s="100">
        <v>45982.825495960751</v>
      </c>
      <c r="H2" s="95"/>
      <c r="I2" s="95"/>
      <c r="J2" s="95"/>
      <c r="K2" s="102">
        <v>45982.825495961057</v>
      </c>
      <c r="L2" s="95"/>
      <c r="M2" s="95"/>
      <c r="N2" s="95"/>
      <c r="O2" s="95"/>
      <c r="P2" s="95"/>
      <c r="Q2" s="95"/>
      <c r="R2" s="95"/>
    </row>
    <row r="3" spans="1:18" ht="24" customHeight="1" x14ac:dyDescent="0.3">
      <c r="A3" s="99" t="s">
        <v>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ht="22.05" customHeight="1" x14ac:dyDescent="0.3">
      <c r="A4" s="92" t="s">
        <v>6</v>
      </c>
      <c r="B4" s="93"/>
      <c r="C4" s="93"/>
      <c r="D4" s="93"/>
      <c r="E4" s="93"/>
      <c r="F4" s="94"/>
      <c r="G4" s="3">
        <v>45986</v>
      </c>
      <c r="H4" s="92" t="s">
        <v>7</v>
      </c>
      <c r="I4" s="93"/>
      <c r="J4" s="93"/>
      <c r="K4" s="93"/>
      <c r="L4" s="93"/>
      <c r="M4" s="93"/>
      <c r="N4" s="93"/>
      <c r="O4" s="93"/>
      <c r="P4" s="93"/>
      <c r="Q4" s="93"/>
      <c r="R4" s="94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26</v>
      </c>
      <c r="B6" s="7" t="s">
        <v>27</v>
      </c>
      <c r="C6" s="7">
        <v>0.17708333333333329</v>
      </c>
      <c r="D6" s="7" t="s">
        <v>28</v>
      </c>
      <c r="E6" s="7" t="s">
        <v>29</v>
      </c>
      <c r="F6" s="7" t="s">
        <v>30</v>
      </c>
      <c r="G6" s="95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49.95" customHeight="1" x14ac:dyDescent="0.3">
      <c r="A7" s="11" t="s">
        <v>31</v>
      </c>
      <c r="B7" s="11" t="s">
        <v>32</v>
      </c>
      <c r="C7" s="11">
        <v>0.99305555555555547</v>
      </c>
      <c r="D7" s="11" t="s">
        <v>28</v>
      </c>
      <c r="E7" s="11" t="s">
        <v>29</v>
      </c>
      <c r="F7" s="11" t="s">
        <v>33</v>
      </c>
      <c r="G7" s="95"/>
      <c r="H7" s="12" t="s">
        <v>34</v>
      </c>
      <c r="I7" s="13">
        <v>0.94969999999999999</v>
      </c>
      <c r="J7" s="14">
        <v>170</v>
      </c>
      <c r="K7" s="15" t="s">
        <v>35</v>
      </c>
      <c r="L7" s="14">
        <v>3</v>
      </c>
      <c r="M7" s="14">
        <v>0</v>
      </c>
      <c r="N7" s="14">
        <v>0</v>
      </c>
      <c r="O7" s="15" t="s">
        <v>36</v>
      </c>
      <c r="P7" s="15">
        <v>0.99305555555555547</v>
      </c>
      <c r="Q7" s="14">
        <v>179</v>
      </c>
      <c r="R7" s="16" t="s">
        <v>37</v>
      </c>
    </row>
    <row r="8" spans="1:18" ht="17.399999999999999" customHeight="1" x14ac:dyDescent="0.3">
      <c r="A8" s="117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9"/>
    </row>
    <row r="9" spans="1:18" ht="22.05" customHeight="1" x14ac:dyDescent="0.3">
      <c r="A9" s="92" t="s">
        <v>6</v>
      </c>
      <c r="B9" s="93"/>
      <c r="C9" s="93"/>
      <c r="D9" s="93"/>
      <c r="E9" s="93"/>
      <c r="F9" s="94"/>
      <c r="G9" s="3">
        <v>45987</v>
      </c>
      <c r="H9" s="92" t="s">
        <v>7</v>
      </c>
      <c r="I9" s="93"/>
      <c r="J9" s="93"/>
      <c r="K9" s="93"/>
      <c r="L9" s="93"/>
      <c r="M9" s="93"/>
      <c r="N9" s="93"/>
      <c r="O9" s="93"/>
      <c r="P9" s="93"/>
      <c r="Q9" s="93"/>
      <c r="R9" s="94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7" t="s">
        <v>38</v>
      </c>
      <c r="B11" s="7" t="s">
        <v>39</v>
      </c>
      <c r="C11" s="7">
        <v>0.59027777777777779</v>
      </c>
      <c r="D11" s="7" t="s">
        <v>40</v>
      </c>
      <c r="E11" s="7" t="s">
        <v>41</v>
      </c>
      <c r="F11" s="7" t="s">
        <v>42</v>
      </c>
      <c r="G11" s="95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49.95" customHeight="1" x14ac:dyDescent="0.3">
      <c r="A12" s="17" t="s">
        <v>31</v>
      </c>
      <c r="B12" s="17" t="s">
        <v>32</v>
      </c>
      <c r="C12" s="17">
        <v>0.98611111111111116</v>
      </c>
      <c r="D12" s="17" t="s">
        <v>28</v>
      </c>
      <c r="E12" s="17" t="s">
        <v>29</v>
      </c>
      <c r="F12" s="17" t="s">
        <v>43</v>
      </c>
      <c r="G12" s="95"/>
      <c r="H12" s="18" t="s">
        <v>34</v>
      </c>
      <c r="I12" s="19">
        <v>0.86029999999999995</v>
      </c>
      <c r="J12" s="20">
        <v>154</v>
      </c>
      <c r="K12" s="21" t="s">
        <v>44</v>
      </c>
      <c r="L12" s="20">
        <v>12</v>
      </c>
      <c r="M12" s="20">
        <v>0</v>
      </c>
      <c r="N12" s="20">
        <v>0</v>
      </c>
      <c r="O12" s="21" t="s">
        <v>45</v>
      </c>
      <c r="P12" s="21">
        <v>0.98611111111111116</v>
      </c>
      <c r="Q12" s="20">
        <v>179</v>
      </c>
      <c r="R12" s="22" t="s">
        <v>46</v>
      </c>
    </row>
    <row r="13" spans="1:18" ht="17.399999999999999" customHeight="1" x14ac:dyDescent="0.3">
      <c r="A13" s="117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9"/>
    </row>
    <row r="14" spans="1:18" ht="22.05" customHeight="1" x14ac:dyDescent="0.3">
      <c r="A14" s="92" t="s">
        <v>6</v>
      </c>
      <c r="B14" s="93"/>
      <c r="C14" s="93"/>
      <c r="D14" s="93"/>
      <c r="E14" s="93"/>
      <c r="F14" s="94"/>
      <c r="G14" s="3">
        <v>45988</v>
      </c>
      <c r="H14" s="92" t="s">
        <v>7</v>
      </c>
      <c r="I14" s="93"/>
      <c r="J14" s="93"/>
      <c r="K14" s="93"/>
      <c r="L14" s="93"/>
      <c r="M14" s="93"/>
      <c r="N14" s="93"/>
      <c r="O14" s="93"/>
      <c r="P14" s="93"/>
      <c r="Q14" s="93"/>
      <c r="R14" s="94"/>
    </row>
    <row r="15" spans="1:18" ht="24" customHeight="1" x14ac:dyDescent="0.3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5" t="s">
        <v>13</v>
      </c>
      <c r="G15" s="6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Q15" s="4" t="s">
        <v>24</v>
      </c>
      <c r="R15" s="4" t="s">
        <v>25</v>
      </c>
    </row>
    <row r="16" spans="1:18" ht="49.95" customHeight="1" x14ac:dyDescent="0.3">
      <c r="A16" s="7" t="s">
        <v>26</v>
      </c>
      <c r="B16" s="7" t="s">
        <v>27</v>
      </c>
      <c r="C16" s="7">
        <v>0.17708333333333329</v>
      </c>
      <c r="D16" s="7" t="s">
        <v>28</v>
      </c>
      <c r="E16" s="7" t="s">
        <v>29</v>
      </c>
      <c r="F16" s="7" t="s">
        <v>30</v>
      </c>
      <c r="G16" s="95"/>
      <c r="H16" s="8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 ht="49.95" customHeight="1" x14ac:dyDescent="0.3">
      <c r="A17" s="23" t="s">
        <v>31</v>
      </c>
      <c r="B17" s="23" t="s">
        <v>32</v>
      </c>
      <c r="C17" s="23">
        <v>0.59722222222222221</v>
      </c>
      <c r="D17" s="23" t="s">
        <v>28</v>
      </c>
      <c r="E17" s="23" t="s">
        <v>47</v>
      </c>
      <c r="F17" s="23" t="s">
        <v>48</v>
      </c>
      <c r="G17" s="95"/>
      <c r="H17" s="24" t="s">
        <v>34</v>
      </c>
      <c r="I17" s="25">
        <v>0.95530000000000004</v>
      </c>
      <c r="J17" s="26">
        <v>171</v>
      </c>
      <c r="K17" s="27" t="s">
        <v>49</v>
      </c>
      <c r="L17" s="26">
        <v>4</v>
      </c>
      <c r="M17" s="26">
        <v>0</v>
      </c>
      <c r="N17" s="26">
        <v>2</v>
      </c>
      <c r="O17" s="27" t="s">
        <v>50</v>
      </c>
      <c r="P17" s="27">
        <v>0.59722222222222221</v>
      </c>
      <c r="Q17" s="26">
        <v>179</v>
      </c>
      <c r="R17" s="28" t="s">
        <v>51</v>
      </c>
    </row>
    <row r="18" spans="1:18" ht="17.399999999999999" customHeight="1" x14ac:dyDescent="0.3">
      <c r="A18" s="117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9"/>
    </row>
    <row r="19" spans="1:18" ht="22.05" customHeight="1" x14ac:dyDescent="0.3">
      <c r="A19" s="92" t="s">
        <v>6</v>
      </c>
      <c r="B19" s="93"/>
      <c r="C19" s="93"/>
      <c r="D19" s="93"/>
      <c r="E19" s="93"/>
      <c r="F19" s="94"/>
      <c r="G19" s="3">
        <v>45989</v>
      </c>
      <c r="H19" s="92" t="s">
        <v>7</v>
      </c>
      <c r="I19" s="93"/>
      <c r="J19" s="93"/>
      <c r="K19" s="93"/>
      <c r="L19" s="93"/>
      <c r="M19" s="93"/>
      <c r="N19" s="93"/>
      <c r="O19" s="93"/>
      <c r="P19" s="93"/>
      <c r="Q19" s="93"/>
      <c r="R19" s="94"/>
    </row>
    <row r="20" spans="1:18" ht="24" customHeight="1" x14ac:dyDescent="0.3">
      <c r="A20" s="4" t="s">
        <v>8</v>
      </c>
      <c r="B20" s="4" t="s">
        <v>9</v>
      </c>
      <c r="C20" s="4" t="s">
        <v>10</v>
      </c>
      <c r="D20" s="4" t="s">
        <v>11</v>
      </c>
      <c r="E20" s="4" t="s">
        <v>12</v>
      </c>
      <c r="F20" s="5" t="s">
        <v>13</v>
      </c>
      <c r="G20" s="6" t="s">
        <v>14</v>
      </c>
      <c r="H20" s="4" t="s">
        <v>15</v>
      </c>
      <c r="I20" s="4" t="s">
        <v>16</v>
      </c>
      <c r="J20" s="4" t="s">
        <v>17</v>
      </c>
      <c r="K20" s="4" t="s">
        <v>18</v>
      </c>
      <c r="L20" s="4" t="s">
        <v>19</v>
      </c>
      <c r="M20" s="4" t="s">
        <v>20</v>
      </c>
      <c r="N20" s="4" t="s">
        <v>21</v>
      </c>
      <c r="O20" s="4" t="s">
        <v>22</v>
      </c>
      <c r="P20" s="4" t="s">
        <v>23</v>
      </c>
      <c r="Q20" s="4" t="s">
        <v>24</v>
      </c>
      <c r="R20" s="4" t="s">
        <v>25</v>
      </c>
    </row>
    <row r="21" spans="1:18" ht="49.95" customHeight="1" x14ac:dyDescent="0.3">
      <c r="A21" s="29" t="s">
        <v>31</v>
      </c>
      <c r="B21" s="29" t="s">
        <v>32</v>
      </c>
      <c r="C21" s="29">
        <v>0.3263888888888889</v>
      </c>
      <c r="D21" s="29" t="s">
        <v>28</v>
      </c>
      <c r="E21" s="29" t="s">
        <v>52</v>
      </c>
      <c r="F21" s="29" t="s">
        <v>53</v>
      </c>
      <c r="G21" s="95"/>
      <c r="H21" s="24" t="s">
        <v>34</v>
      </c>
      <c r="I21" s="30">
        <v>0.83240000000000003</v>
      </c>
      <c r="J21" s="26">
        <v>149</v>
      </c>
      <c r="K21" s="27" t="s">
        <v>54</v>
      </c>
      <c r="L21" s="26">
        <v>47</v>
      </c>
      <c r="M21" s="26">
        <v>2</v>
      </c>
      <c r="N21" s="26">
        <v>1</v>
      </c>
      <c r="O21" s="27" t="s">
        <v>55</v>
      </c>
      <c r="P21" s="27">
        <v>0.3263888888888889</v>
      </c>
      <c r="Q21" s="26">
        <v>179</v>
      </c>
      <c r="R21" s="28" t="s">
        <v>56</v>
      </c>
    </row>
    <row r="22" spans="1:18" ht="17.399999999999999" customHeight="1" x14ac:dyDescent="0.3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9"/>
    </row>
    <row r="23" spans="1:18" ht="22.05" customHeight="1" x14ac:dyDescent="0.3">
      <c r="A23" s="92" t="s">
        <v>6</v>
      </c>
      <c r="B23" s="93"/>
      <c r="C23" s="93"/>
      <c r="D23" s="93"/>
      <c r="E23" s="93"/>
      <c r="F23" s="94"/>
      <c r="G23" s="3">
        <v>45990</v>
      </c>
      <c r="H23" s="92" t="s">
        <v>7</v>
      </c>
      <c r="I23" s="93"/>
      <c r="J23" s="93"/>
      <c r="K23" s="93"/>
      <c r="L23" s="93"/>
      <c r="M23" s="93"/>
      <c r="N23" s="93"/>
      <c r="O23" s="93"/>
      <c r="P23" s="93"/>
      <c r="Q23" s="93"/>
      <c r="R23" s="94"/>
    </row>
    <row r="24" spans="1:18" ht="24" customHeight="1" x14ac:dyDescent="0.3">
      <c r="A24" s="4" t="s">
        <v>8</v>
      </c>
      <c r="B24" s="4" t="s">
        <v>9</v>
      </c>
      <c r="C24" s="4" t="s">
        <v>10</v>
      </c>
      <c r="D24" s="4" t="s">
        <v>11</v>
      </c>
      <c r="E24" s="4" t="s">
        <v>12</v>
      </c>
      <c r="F24" s="5" t="s">
        <v>13</v>
      </c>
      <c r="G24" s="6" t="s">
        <v>14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19</v>
      </c>
      <c r="M24" s="4" t="s">
        <v>20</v>
      </c>
      <c r="N24" s="4" t="s">
        <v>21</v>
      </c>
      <c r="O24" s="4" t="s">
        <v>22</v>
      </c>
      <c r="P24" s="4" t="s">
        <v>23</v>
      </c>
      <c r="Q24" s="4" t="s">
        <v>24</v>
      </c>
      <c r="R24" s="4" t="s">
        <v>25</v>
      </c>
    </row>
    <row r="25" spans="1:18" ht="49.95" customHeight="1" x14ac:dyDescent="0.3">
      <c r="A25" s="31" t="s">
        <v>31</v>
      </c>
      <c r="B25" s="31" t="s">
        <v>32</v>
      </c>
      <c r="C25" s="31">
        <v>0.28472222222222221</v>
      </c>
      <c r="D25" s="31" t="s">
        <v>28</v>
      </c>
      <c r="E25" s="31" t="s">
        <v>47</v>
      </c>
      <c r="F25" s="31" t="s">
        <v>57</v>
      </c>
      <c r="G25" s="95"/>
      <c r="H25" s="32" t="s">
        <v>34</v>
      </c>
      <c r="I25" s="33">
        <v>0.94410000000000005</v>
      </c>
      <c r="J25" s="34">
        <v>169</v>
      </c>
      <c r="K25" s="35" t="s">
        <v>49</v>
      </c>
      <c r="L25" s="34">
        <v>10</v>
      </c>
      <c r="M25" s="34">
        <v>0</v>
      </c>
      <c r="N25" s="34">
        <v>3</v>
      </c>
      <c r="O25" s="35" t="s">
        <v>58</v>
      </c>
      <c r="P25" s="35">
        <v>0.28472222222222221</v>
      </c>
      <c r="Q25" s="34">
        <v>179</v>
      </c>
      <c r="R25" s="36" t="s">
        <v>59</v>
      </c>
    </row>
    <row r="26" spans="1:18" ht="17.399999999999999" customHeight="1" x14ac:dyDescent="0.3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9"/>
    </row>
    <row r="27" spans="1:18" ht="22.05" customHeight="1" x14ac:dyDescent="0.3">
      <c r="A27" s="92" t="s">
        <v>6</v>
      </c>
      <c r="B27" s="93"/>
      <c r="C27" s="93"/>
      <c r="D27" s="93"/>
      <c r="E27" s="93"/>
      <c r="F27" s="94"/>
      <c r="G27" s="3">
        <v>45991</v>
      </c>
      <c r="H27" s="92" t="s">
        <v>7</v>
      </c>
      <c r="I27" s="93"/>
      <c r="J27" s="93"/>
      <c r="K27" s="93"/>
      <c r="L27" s="93"/>
      <c r="M27" s="93"/>
      <c r="N27" s="93"/>
      <c r="O27" s="93"/>
      <c r="P27" s="93"/>
      <c r="Q27" s="93"/>
      <c r="R27" s="94"/>
    </row>
    <row r="28" spans="1:18" ht="24" customHeight="1" x14ac:dyDescent="0.3">
      <c r="A28" s="4" t="s">
        <v>8</v>
      </c>
      <c r="B28" s="4" t="s">
        <v>9</v>
      </c>
      <c r="C28" s="4" t="s">
        <v>10</v>
      </c>
      <c r="D28" s="4" t="s">
        <v>11</v>
      </c>
      <c r="E28" s="4" t="s">
        <v>12</v>
      </c>
      <c r="F28" s="5" t="s">
        <v>13</v>
      </c>
      <c r="G28" s="6" t="s">
        <v>14</v>
      </c>
      <c r="H28" s="4" t="s">
        <v>15</v>
      </c>
      <c r="I28" s="4" t="s">
        <v>16</v>
      </c>
      <c r="J28" s="4" t="s">
        <v>17</v>
      </c>
      <c r="K28" s="4" t="s">
        <v>18</v>
      </c>
      <c r="L28" s="4" t="s">
        <v>19</v>
      </c>
      <c r="M28" s="4" t="s">
        <v>20</v>
      </c>
      <c r="N28" s="4" t="s">
        <v>21</v>
      </c>
      <c r="O28" s="4" t="s">
        <v>22</v>
      </c>
      <c r="P28" s="4" t="s">
        <v>23</v>
      </c>
      <c r="Q28" s="4" t="s">
        <v>24</v>
      </c>
      <c r="R28" s="4" t="s">
        <v>25</v>
      </c>
    </row>
    <row r="29" spans="1:18" ht="49.95" customHeight="1" x14ac:dyDescent="0.3">
      <c r="A29" s="37" t="s">
        <v>31</v>
      </c>
      <c r="B29" s="37" t="s">
        <v>34</v>
      </c>
      <c r="C29" s="37">
        <v>0.375</v>
      </c>
      <c r="D29" s="37" t="s">
        <v>60</v>
      </c>
      <c r="E29" s="37"/>
      <c r="F29" s="37" t="s">
        <v>61</v>
      </c>
      <c r="G29" s="95"/>
      <c r="H29" s="18" t="s">
        <v>34</v>
      </c>
      <c r="I29" s="19">
        <v>0.96650000000000003</v>
      </c>
      <c r="J29" s="20">
        <v>173</v>
      </c>
      <c r="K29" s="21" t="s">
        <v>49</v>
      </c>
      <c r="L29" s="20">
        <v>23</v>
      </c>
      <c r="M29" s="20">
        <v>0</v>
      </c>
      <c r="N29" s="20">
        <v>1</v>
      </c>
      <c r="O29" s="21" t="s">
        <v>62</v>
      </c>
      <c r="P29" s="21">
        <v>0.375</v>
      </c>
      <c r="Q29" s="20">
        <v>179</v>
      </c>
      <c r="R29" s="22" t="s">
        <v>63</v>
      </c>
    </row>
    <row r="30" spans="1:18" ht="17.399999999999999" customHeight="1" x14ac:dyDescent="0.3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9"/>
    </row>
    <row r="31" spans="1:18" ht="22.05" customHeight="1" x14ac:dyDescent="0.3">
      <c r="A31" s="92" t="s">
        <v>6</v>
      </c>
      <c r="B31" s="93"/>
      <c r="C31" s="93"/>
      <c r="D31" s="93"/>
      <c r="E31" s="93"/>
      <c r="F31" s="94"/>
      <c r="G31" s="3">
        <v>45992</v>
      </c>
      <c r="H31" s="92" t="s">
        <v>7</v>
      </c>
      <c r="I31" s="93"/>
      <c r="J31" s="93"/>
      <c r="K31" s="93"/>
      <c r="L31" s="93"/>
      <c r="M31" s="93"/>
      <c r="N31" s="93"/>
      <c r="O31" s="93"/>
      <c r="P31" s="93"/>
      <c r="Q31" s="93"/>
      <c r="R31" s="94"/>
    </row>
    <row r="32" spans="1:18" ht="24" customHeight="1" x14ac:dyDescent="0.3">
      <c r="A32" s="4" t="s">
        <v>8</v>
      </c>
      <c r="B32" s="4" t="s">
        <v>9</v>
      </c>
      <c r="C32" s="4" t="s">
        <v>10</v>
      </c>
      <c r="D32" s="4" t="s">
        <v>11</v>
      </c>
      <c r="E32" s="4" t="s">
        <v>12</v>
      </c>
      <c r="F32" s="5" t="s">
        <v>13</v>
      </c>
      <c r="G32" s="6" t="s">
        <v>14</v>
      </c>
      <c r="H32" s="4" t="s">
        <v>15</v>
      </c>
      <c r="I32" s="4" t="s">
        <v>16</v>
      </c>
      <c r="J32" s="4" t="s">
        <v>17</v>
      </c>
      <c r="K32" s="4" t="s">
        <v>18</v>
      </c>
      <c r="L32" s="4" t="s">
        <v>19</v>
      </c>
      <c r="M32" s="4" t="s">
        <v>20</v>
      </c>
      <c r="N32" s="4" t="s">
        <v>21</v>
      </c>
      <c r="O32" s="4" t="s">
        <v>22</v>
      </c>
      <c r="P32" s="4" t="s">
        <v>23</v>
      </c>
      <c r="Q32" s="4" t="s">
        <v>24</v>
      </c>
      <c r="R32" s="4" t="s">
        <v>25</v>
      </c>
    </row>
    <row r="33" spans="1:18" ht="49.95" customHeight="1" x14ac:dyDescent="0.3">
      <c r="A33" s="31" t="s">
        <v>31</v>
      </c>
      <c r="B33" s="31" t="s">
        <v>32</v>
      </c>
      <c r="C33" s="31">
        <v>0.3263888888888889</v>
      </c>
      <c r="D33" s="31" t="s">
        <v>28</v>
      </c>
      <c r="E33" s="31" t="s">
        <v>64</v>
      </c>
      <c r="F33" s="31" t="s">
        <v>53</v>
      </c>
      <c r="G33" s="95"/>
      <c r="H33" s="32" t="s">
        <v>34</v>
      </c>
      <c r="I33" s="33">
        <v>0.88270000000000004</v>
      </c>
      <c r="J33" s="34">
        <v>158</v>
      </c>
      <c r="K33" s="35" t="s">
        <v>54</v>
      </c>
      <c r="L33" s="34">
        <v>11</v>
      </c>
      <c r="M33" s="34">
        <v>1</v>
      </c>
      <c r="N33" s="34">
        <v>1</v>
      </c>
      <c r="O33" s="35" t="s">
        <v>65</v>
      </c>
      <c r="P33" s="35">
        <v>0.3263888888888889</v>
      </c>
      <c r="Q33" s="34">
        <v>179</v>
      </c>
      <c r="R33" s="36" t="s">
        <v>66</v>
      </c>
    </row>
    <row r="34" spans="1:18" ht="17.399999999999999" customHeight="1" x14ac:dyDescent="0.3">
      <c r="A34" s="117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9"/>
    </row>
    <row r="35" spans="1:18" ht="22.05" customHeight="1" x14ac:dyDescent="0.3">
      <c r="A35" s="92" t="s">
        <v>6</v>
      </c>
      <c r="B35" s="93"/>
      <c r="C35" s="93"/>
      <c r="D35" s="93"/>
      <c r="E35" s="93"/>
      <c r="F35" s="94"/>
      <c r="G35" s="3">
        <v>45993</v>
      </c>
      <c r="H35" s="92" t="s">
        <v>7</v>
      </c>
      <c r="I35" s="93"/>
      <c r="J35" s="93"/>
      <c r="K35" s="93"/>
      <c r="L35" s="93"/>
      <c r="M35" s="93"/>
      <c r="N35" s="93"/>
      <c r="O35" s="93"/>
      <c r="P35" s="93"/>
      <c r="Q35" s="93"/>
      <c r="R35" s="94"/>
    </row>
    <row r="36" spans="1:18" ht="24" customHeight="1" x14ac:dyDescent="0.3">
      <c r="A36" s="4" t="s">
        <v>8</v>
      </c>
      <c r="B36" s="4" t="s">
        <v>9</v>
      </c>
      <c r="C36" s="4" t="s">
        <v>10</v>
      </c>
      <c r="D36" s="4" t="s">
        <v>11</v>
      </c>
      <c r="E36" s="4" t="s">
        <v>12</v>
      </c>
      <c r="F36" s="5" t="s">
        <v>13</v>
      </c>
      <c r="G36" s="6" t="s">
        <v>14</v>
      </c>
      <c r="H36" s="4" t="s">
        <v>15</v>
      </c>
      <c r="I36" s="4" t="s">
        <v>16</v>
      </c>
      <c r="J36" s="4" t="s">
        <v>17</v>
      </c>
      <c r="K36" s="4" t="s">
        <v>18</v>
      </c>
      <c r="L36" s="4" t="s">
        <v>19</v>
      </c>
      <c r="M36" s="4" t="s">
        <v>20</v>
      </c>
      <c r="N36" s="4" t="s">
        <v>21</v>
      </c>
      <c r="O36" s="4" t="s">
        <v>22</v>
      </c>
      <c r="P36" s="4" t="s">
        <v>23</v>
      </c>
      <c r="Q36" s="4" t="s">
        <v>24</v>
      </c>
      <c r="R36" s="4" t="s">
        <v>25</v>
      </c>
    </row>
    <row r="37" spans="1:18" ht="49.95" customHeight="1" x14ac:dyDescent="0.3">
      <c r="A37" s="7" t="s">
        <v>26</v>
      </c>
      <c r="B37" s="7" t="s">
        <v>27</v>
      </c>
      <c r="C37" s="7">
        <v>0.17708333333333329</v>
      </c>
      <c r="D37" s="7" t="s">
        <v>28</v>
      </c>
      <c r="E37" s="7" t="s">
        <v>67</v>
      </c>
      <c r="F37" s="7" t="s">
        <v>68</v>
      </c>
      <c r="G37" s="95"/>
      <c r="H37" s="8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1:18" ht="49.95" customHeight="1" x14ac:dyDescent="0.3">
      <c r="A38" s="38" t="s">
        <v>38</v>
      </c>
      <c r="B38" s="38" t="s">
        <v>39</v>
      </c>
      <c r="C38" s="38">
        <v>0.49652777777777768</v>
      </c>
      <c r="D38" s="38" t="s">
        <v>40</v>
      </c>
      <c r="E38" s="38" t="s">
        <v>67</v>
      </c>
      <c r="F38" s="38" t="s">
        <v>42</v>
      </c>
      <c r="G38" s="95"/>
      <c r="H38" s="8"/>
      <c r="I38" s="9"/>
      <c r="J38" s="9"/>
      <c r="K38" s="9"/>
      <c r="L38" s="9"/>
      <c r="M38" s="9"/>
      <c r="N38" s="9"/>
      <c r="O38" s="9"/>
      <c r="P38" s="9"/>
      <c r="Q38" s="9"/>
      <c r="R38" s="10"/>
    </row>
    <row r="39" spans="1:18" ht="49.95" customHeight="1" x14ac:dyDescent="0.3">
      <c r="A39" s="39" t="s">
        <v>31</v>
      </c>
      <c r="B39" s="39" t="s">
        <v>32</v>
      </c>
      <c r="C39" s="39">
        <v>0.99305555555555547</v>
      </c>
      <c r="D39" s="39" t="s">
        <v>28</v>
      </c>
      <c r="E39" s="39" t="s">
        <v>47</v>
      </c>
      <c r="F39" s="39" t="s">
        <v>69</v>
      </c>
      <c r="G39" s="95"/>
      <c r="H39" s="40" t="s">
        <v>34</v>
      </c>
      <c r="I39" s="41">
        <v>0.93300000000000005</v>
      </c>
      <c r="J39" s="42">
        <v>167</v>
      </c>
      <c r="K39" s="43" t="s">
        <v>70</v>
      </c>
      <c r="L39" s="42">
        <v>4</v>
      </c>
      <c r="M39" s="42">
        <v>0</v>
      </c>
      <c r="N39" s="42">
        <v>0</v>
      </c>
      <c r="O39" s="43" t="s">
        <v>71</v>
      </c>
      <c r="P39" s="43">
        <v>0.99305555555555547</v>
      </c>
      <c r="Q39" s="42">
        <v>179</v>
      </c>
      <c r="R39" s="44" t="s">
        <v>72</v>
      </c>
    </row>
    <row r="40" spans="1:18" ht="17.399999999999999" customHeight="1" x14ac:dyDescent="0.3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9"/>
    </row>
    <row r="41" spans="1:18" ht="22.05" customHeight="1" x14ac:dyDescent="0.3">
      <c r="A41" s="92" t="s">
        <v>6</v>
      </c>
      <c r="B41" s="93"/>
      <c r="C41" s="93"/>
      <c r="D41" s="93"/>
      <c r="E41" s="93"/>
      <c r="F41" s="94"/>
      <c r="G41" s="3">
        <v>45994</v>
      </c>
      <c r="H41" s="92" t="s">
        <v>7</v>
      </c>
      <c r="I41" s="93"/>
      <c r="J41" s="93"/>
      <c r="K41" s="93"/>
      <c r="L41" s="93"/>
      <c r="M41" s="93"/>
      <c r="N41" s="93"/>
      <c r="O41" s="93"/>
      <c r="P41" s="93"/>
      <c r="Q41" s="93"/>
      <c r="R41" s="94"/>
    </row>
    <row r="42" spans="1:18" ht="24" customHeight="1" x14ac:dyDescent="0.3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6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23</v>
      </c>
      <c r="Q42" s="4" t="s">
        <v>24</v>
      </c>
      <c r="R42" s="4" t="s">
        <v>25</v>
      </c>
    </row>
    <row r="43" spans="1:18" ht="49.95" customHeight="1" x14ac:dyDescent="0.3">
      <c r="A43" s="45" t="s">
        <v>31</v>
      </c>
      <c r="B43" s="45" t="s">
        <v>32</v>
      </c>
      <c r="C43" s="45">
        <v>0.98611111111111116</v>
      </c>
      <c r="D43" s="45" t="s">
        <v>28</v>
      </c>
      <c r="E43" s="45" t="s">
        <v>52</v>
      </c>
      <c r="F43" s="45" t="s">
        <v>73</v>
      </c>
      <c r="G43" s="95"/>
      <c r="H43" s="46" t="s">
        <v>34</v>
      </c>
      <c r="I43" s="47">
        <v>0.68159999999999998</v>
      </c>
      <c r="J43" s="48">
        <v>122</v>
      </c>
      <c r="K43" s="49" t="s">
        <v>54</v>
      </c>
      <c r="L43" s="48">
        <v>15</v>
      </c>
      <c r="M43" s="48">
        <v>1</v>
      </c>
      <c r="N43" s="48">
        <v>0</v>
      </c>
      <c r="O43" s="49" t="s">
        <v>74</v>
      </c>
      <c r="P43" s="49">
        <v>0.98611111111111116</v>
      </c>
      <c r="Q43" s="48">
        <v>179</v>
      </c>
      <c r="R43" s="50" t="s">
        <v>75</v>
      </c>
    </row>
    <row r="44" spans="1:18" ht="49.95" customHeight="1" x14ac:dyDescent="0.3">
      <c r="A44" s="51" t="s">
        <v>38</v>
      </c>
      <c r="B44" s="51" t="s">
        <v>39</v>
      </c>
      <c r="C44" s="51">
        <v>0.59027777777777779</v>
      </c>
      <c r="D44" s="51" t="s">
        <v>40</v>
      </c>
      <c r="E44" s="51" t="s">
        <v>41</v>
      </c>
      <c r="F44" s="51" t="s">
        <v>42</v>
      </c>
      <c r="G44" s="95"/>
      <c r="H44" s="52"/>
      <c r="I44" s="53"/>
      <c r="J44" s="53"/>
      <c r="K44" s="53"/>
      <c r="L44" s="53"/>
      <c r="M44" s="53"/>
      <c r="N44" s="53"/>
      <c r="O44" s="53"/>
      <c r="P44" s="53"/>
      <c r="Q44" s="53"/>
      <c r="R44" s="54"/>
    </row>
    <row r="45" spans="1:18" ht="17.399999999999999" customHeight="1" x14ac:dyDescent="0.3">
      <c r="A45" s="117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9"/>
    </row>
    <row r="46" spans="1:18" ht="22.05" customHeight="1" x14ac:dyDescent="0.3">
      <c r="A46" s="92" t="s">
        <v>6</v>
      </c>
      <c r="B46" s="93"/>
      <c r="C46" s="93"/>
      <c r="D46" s="93"/>
      <c r="E46" s="93"/>
      <c r="F46" s="94"/>
      <c r="G46" s="3">
        <v>45995</v>
      </c>
      <c r="H46" s="92" t="s">
        <v>7</v>
      </c>
      <c r="I46" s="93"/>
      <c r="J46" s="93"/>
      <c r="K46" s="93"/>
      <c r="L46" s="93"/>
      <c r="M46" s="93"/>
      <c r="N46" s="93"/>
      <c r="O46" s="93"/>
      <c r="P46" s="93"/>
      <c r="Q46" s="93"/>
      <c r="R46" s="94"/>
    </row>
    <row r="47" spans="1:18" ht="24" customHeight="1" x14ac:dyDescent="0.3">
      <c r="A47" s="4" t="s">
        <v>8</v>
      </c>
      <c r="B47" s="4" t="s">
        <v>9</v>
      </c>
      <c r="C47" s="4" t="s">
        <v>10</v>
      </c>
      <c r="D47" s="4" t="s">
        <v>11</v>
      </c>
      <c r="E47" s="4" t="s">
        <v>12</v>
      </c>
      <c r="F47" s="5" t="s">
        <v>13</v>
      </c>
      <c r="G47" s="6" t="s">
        <v>14</v>
      </c>
      <c r="H47" s="4" t="s">
        <v>15</v>
      </c>
      <c r="I47" s="4" t="s">
        <v>16</v>
      </c>
      <c r="J47" s="4" t="s">
        <v>17</v>
      </c>
      <c r="K47" s="4" t="s">
        <v>18</v>
      </c>
      <c r="L47" s="4" t="s">
        <v>19</v>
      </c>
      <c r="M47" s="4" t="s">
        <v>20</v>
      </c>
      <c r="N47" s="4" t="s">
        <v>21</v>
      </c>
      <c r="O47" s="4" t="s">
        <v>22</v>
      </c>
      <c r="P47" s="4" t="s">
        <v>23</v>
      </c>
      <c r="Q47" s="4" t="s">
        <v>24</v>
      </c>
      <c r="R47" s="4" t="s">
        <v>25</v>
      </c>
    </row>
    <row r="48" spans="1:18" ht="49.95" customHeight="1" x14ac:dyDescent="0.3">
      <c r="A48" s="7" t="s">
        <v>26</v>
      </c>
      <c r="B48" s="7" t="s">
        <v>27</v>
      </c>
      <c r="C48" s="7">
        <v>0.17708333333333329</v>
      </c>
      <c r="D48" s="7" t="s">
        <v>28</v>
      </c>
      <c r="E48" s="7" t="s">
        <v>76</v>
      </c>
      <c r="F48" s="7" t="s">
        <v>68</v>
      </c>
      <c r="G48" s="95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49.95" customHeight="1" x14ac:dyDescent="0.3">
      <c r="A49" s="38" t="s">
        <v>38</v>
      </c>
      <c r="B49" s="38" t="s">
        <v>39</v>
      </c>
      <c r="C49" s="38">
        <v>0.47569444444444442</v>
      </c>
      <c r="D49" s="38" t="s">
        <v>40</v>
      </c>
      <c r="E49" s="38" t="s">
        <v>77</v>
      </c>
      <c r="F49" s="38" t="s">
        <v>78</v>
      </c>
      <c r="G49" s="95"/>
      <c r="H49" s="8"/>
      <c r="I49" s="9"/>
      <c r="J49" s="9"/>
      <c r="K49" s="9"/>
      <c r="L49" s="9"/>
      <c r="M49" s="9"/>
      <c r="N49" s="9"/>
      <c r="O49" s="9"/>
      <c r="P49" s="9"/>
      <c r="Q49" s="9"/>
      <c r="R49" s="10"/>
    </row>
    <row r="50" spans="1:18" ht="49.95" customHeight="1" x14ac:dyDescent="0.3">
      <c r="A50" s="39" t="s">
        <v>31</v>
      </c>
      <c r="B50" s="39" t="s">
        <v>32</v>
      </c>
      <c r="C50" s="39">
        <v>0.59722222222222221</v>
      </c>
      <c r="D50" s="39" t="s">
        <v>28</v>
      </c>
      <c r="E50" s="39" t="s">
        <v>67</v>
      </c>
      <c r="F50" s="39" t="s">
        <v>79</v>
      </c>
      <c r="G50" s="95"/>
      <c r="H50" s="40" t="s">
        <v>34</v>
      </c>
      <c r="I50" s="41">
        <v>0.94410000000000005</v>
      </c>
      <c r="J50" s="42">
        <v>169</v>
      </c>
      <c r="K50" s="43" t="s">
        <v>35</v>
      </c>
      <c r="L50" s="42">
        <v>65</v>
      </c>
      <c r="M50" s="42">
        <v>0</v>
      </c>
      <c r="N50" s="42">
        <v>0</v>
      </c>
      <c r="O50" s="43" t="s">
        <v>80</v>
      </c>
      <c r="P50" s="43">
        <v>0.59722222222222221</v>
      </c>
      <c r="Q50" s="42">
        <v>179</v>
      </c>
      <c r="R50" s="44" t="s">
        <v>81</v>
      </c>
    </row>
    <row r="51" spans="1:18" ht="17.399999999999999" customHeight="1" x14ac:dyDescent="0.3">
      <c r="A51" s="117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9"/>
    </row>
    <row r="52" spans="1:18" ht="22.05" customHeight="1" x14ac:dyDescent="0.3">
      <c r="A52" s="92" t="s">
        <v>6</v>
      </c>
      <c r="B52" s="93"/>
      <c r="C52" s="93"/>
      <c r="D52" s="93"/>
      <c r="E52" s="93"/>
      <c r="F52" s="94"/>
      <c r="G52" s="3">
        <v>45996</v>
      </c>
      <c r="H52" s="92" t="s">
        <v>7</v>
      </c>
      <c r="I52" s="93"/>
      <c r="J52" s="93"/>
      <c r="K52" s="93"/>
      <c r="L52" s="93"/>
      <c r="M52" s="93"/>
      <c r="N52" s="93"/>
      <c r="O52" s="93"/>
      <c r="P52" s="93"/>
      <c r="Q52" s="93"/>
      <c r="R52" s="94"/>
    </row>
    <row r="53" spans="1:18" ht="24" customHeight="1" x14ac:dyDescent="0.3">
      <c r="A53" s="4" t="s">
        <v>8</v>
      </c>
      <c r="B53" s="4" t="s">
        <v>9</v>
      </c>
      <c r="C53" s="4" t="s">
        <v>10</v>
      </c>
      <c r="D53" s="4" t="s">
        <v>11</v>
      </c>
      <c r="E53" s="4" t="s">
        <v>12</v>
      </c>
      <c r="F53" s="5" t="s">
        <v>13</v>
      </c>
      <c r="G53" s="6" t="s">
        <v>14</v>
      </c>
      <c r="H53" s="4" t="s">
        <v>15</v>
      </c>
      <c r="I53" s="4" t="s">
        <v>16</v>
      </c>
      <c r="J53" s="4" t="s">
        <v>17</v>
      </c>
      <c r="K53" s="4" t="s">
        <v>18</v>
      </c>
      <c r="L53" s="4" t="s">
        <v>19</v>
      </c>
      <c r="M53" s="4" t="s">
        <v>20</v>
      </c>
      <c r="N53" s="4" t="s">
        <v>21</v>
      </c>
      <c r="O53" s="4" t="s">
        <v>22</v>
      </c>
      <c r="P53" s="4" t="s">
        <v>23</v>
      </c>
      <c r="Q53" s="4" t="s">
        <v>24</v>
      </c>
      <c r="R53" s="4" t="s">
        <v>25</v>
      </c>
    </row>
    <row r="54" spans="1:18" ht="49.95" customHeight="1" x14ac:dyDescent="0.3">
      <c r="A54" s="55" t="s">
        <v>31</v>
      </c>
      <c r="B54" s="55" t="s">
        <v>32</v>
      </c>
      <c r="C54" s="55">
        <v>0.3263888888888889</v>
      </c>
      <c r="D54" s="55" t="s">
        <v>28</v>
      </c>
      <c r="E54" s="55" t="s">
        <v>67</v>
      </c>
      <c r="F54" s="55" t="s">
        <v>43</v>
      </c>
      <c r="G54" s="95"/>
      <c r="H54" s="56" t="s">
        <v>34</v>
      </c>
      <c r="I54" s="57">
        <v>0.93300000000000005</v>
      </c>
      <c r="J54" s="58">
        <v>167</v>
      </c>
      <c r="K54" s="59" t="s">
        <v>44</v>
      </c>
      <c r="L54" s="58">
        <v>17</v>
      </c>
      <c r="M54" s="58">
        <v>0</v>
      </c>
      <c r="N54" s="58">
        <v>0</v>
      </c>
      <c r="O54" s="59" t="s">
        <v>82</v>
      </c>
      <c r="P54" s="59">
        <v>0.3263888888888889</v>
      </c>
      <c r="Q54" s="58">
        <v>179</v>
      </c>
      <c r="R54" s="60" t="s">
        <v>83</v>
      </c>
    </row>
    <row r="55" spans="1:18" ht="17.399999999999999" customHeight="1" x14ac:dyDescent="0.3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9"/>
    </row>
    <row r="56" spans="1:18" ht="22.05" customHeight="1" x14ac:dyDescent="0.3">
      <c r="A56" s="92" t="s">
        <v>6</v>
      </c>
      <c r="B56" s="93"/>
      <c r="C56" s="93"/>
      <c r="D56" s="93"/>
      <c r="E56" s="93"/>
      <c r="F56" s="94"/>
      <c r="G56" s="3">
        <v>45997</v>
      </c>
      <c r="H56" s="92" t="s">
        <v>7</v>
      </c>
      <c r="I56" s="93"/>
      <c r="J56" s="93"/>
      <c r="K56" s="93"/>
      <c r="L56" s="93"/>
      <c r="M56" s="93"/>
      <c r="N56" s="93"/>
      <c r="O56" s="93"/>
      <c r="P56" s="93"/>
      <c r="Q56" s="93"/>
      <c r="R56" s="94"/>
    </row>
    <row r="57" spans="1:18" ht="24" customHeight="1" x14ac:dyDescent="0.3">
      <c r="A57" s="4" t="s">
        <v>8</v>
      </c>
      <c r="B57" s="4" t="s">
        <v>9</v>
      </c>
      <c r="C57" s="4" t="s">
        <v>10</v>
      </c>
      <c r="D57" s="4" t="s">
        <v>11</v>
      </c>
      <c r="E57" s="4" t="s">
        <v>12</v>
      </c>
      <c r="F57" s="5" t="s">
        <v>13</v>
      </c>
      <c r="G57" s="6" t="s">
        <v>14</v>
      </c>
      <c r="H57" s="4" t="s">
        <v>15</v>
      </c>
      <c r="I57" s="4" t="s">
        <v>16</v>
      </c>
      <c r="J57" s="4" t="s">
        <v>17</v>
      </c>
      <c r="K57" s="4" t="s">
        <v>18</v>
      </c>
      <c r="L57" s="4" t="s">
        <v>19</v>
      </c>
      <c r="M57" s="4" t="s">
        <v>20</v>
      </c>
      <c r="N57" s="4" t="s">
        <v>21</v>
      </c>
      <c r="O57" s="4" t="s">
        <v>22</v>
      </c>
      <c r="P57" s="4" t="s">
        <v>23</v>
      </c>
      <c r="Q57" s="4" t="s">
        <v>24</v>
      </c>
      <c r="R57" s="4" t="s">
        <v>25</v>
      </c>
    </row>
    <row r="58" spans="1:18" ht="49.95" customHeight="1" x14ac:dyDescent="0.3">
      <c r="A58" s="29" t="s">
        <v>31</v>
      </c>
      <c r="B58" s="29" t="s">
        <v>34</v>
      </c>
      <c r="C58" s="29">
        <v>0.28472222222222221</v>
      </c>
      <c r="D58" s="29" t="s">
        <v>60</v>
      </c>
      <c r="E58" s="29"/>
      <c r="F58" s="29" t="s">
        <v>61</v>
      </c>
      <c r="G58" s="95"/>
      <c r="H58" s="24" t="s">
        <v>34</v>
      </c>
      <c r="I58" s="25">
        <v>0.99439999999999995</v>
      </c>
      <c r="J58" s="26">
        <v>178</v>
      </c>
      <c r="K58" s="27" t="s">
        <v>35</v>
      </c>
      <c r="L58" s="26">
        <v>49</v>
      </c>
      <c r="M58" s="26">
        <v>0</v>
      </c>
      <c r="N58" s="26">
        <v>0</v>
      </c>
      <c r="O58" s="27" t="s">
        <v>62</v>
      </c>
      <c r="P58" s="27">
        <v>0.28472222222222221</v>
      </c>
      <c r="Q58" s="26">
        <v>179</v>
      </c>
      <c r="R58" s="28" t="s">
        <v>84</v>
      </c>
    </row>
    <row r="59" spans="1:18" ht="17.399999999999999" customHeight="1" x14ac:dyDescent="0.3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9"/>
    </row>
    <row r="60" spans="1:18" ht="22.05" customHeight="1" x14ac:dyDescent="0.3">
      <c r="A60" s="92" t="s">
        <v>6</v>
      </c>
      <c r="B60" s="93"/>
      <c r="C60" s="93"/>
      <c r="D60" s="93"/>
      <c r="E60" s="93"/>
      <c r="F60" s="94"/>
      <c r="G60" s="3">
        <v>45998</v>
      </c>
      <c r="H60" s="92" t="s">
        <v>7</v>
      </c>
      <c r="I60" s="93"/>
      <c r="J60" s="93"/>
      <c r="K60" s="93"/>
      <c r="L60" s="93"/>
      <c r="M60" s="93"/>
      <c r="N60" s="93"/>
      <c r="O60" s="93"/>
      <c r="P60" s="93"/>
      <c r="Q60" s="93"/>
      <c r="R60" s="94"/>
    </row>
    <row r="61" spans="1:18" ht="24" customHeight="1" x14ac:dyDescent="0.3">
      <c r="A61" s="4" t="s">
        <v>8</v>
      </c>
      <c r="B61" s="4" t="s">
        <v>9</v>
      </c>
      <c r="C61" s="4" t="s">
        <v>10</v>
      </c>
      <c r="D61" s="4" t="s">
        <v>11</v>
      </c>
      <c r="E61" s="4" t="s">
        <v>12</v>
      </c>
      <c r="F61" s="5" t="s">
        <v>13</v>
      </c>
      <c r="G61" s="6" t="s">
        <v>14</v>
      </c>
      <c r="H61" s="4" t="s">
        <v>15</v>
      </c>
      <c r="I61" s="4" t="s">
        <v>16</v>
      </c>
      <c r="J61" s="4" t="s">
        <v>17</v>
      </c>
      <c r="K61" s="4" t="s">
        <v>18</v>
      </c>
      <c r="L61" s="4" t="s">
        <v>19</v>
      </c>
      <c r="M61" s="4" t="s">
        <v>20</v>
      </c>
      <c r="N61" s="4" t="s">
        <v>21</v>
      </c>
      <c r="O61" s="4" t="s">
        <v>22</v>
      </c>
      <c r="P61" s="4" t="s">
        <v>23</v>
      </c>
      <c r="Q61" s="4" t="s">
        <v>24</v>
      </c>
      <c r="R61" s="4" t="s">
        <v>25</v>
      </c>
    </row>
    <row r="62" spans="1:18" ht="49.95" customHeight="1" x14ac:dyDescent="0.3">
      <c r="A62" s="55" t="s">
        <v>31</v>
      </c>
      <c r="B62" s="55" t="s">
        <v>32</v>
      </c>
      <c r="C62" s="55">
        <v>0.375</v>
      </c>
      <c r="D62" s="55" t="s">
        <v>28</v>
      </c>
      <c r="E62" s="55" t="s">
        <v>29</v>
      </c>
      <c r="F62" s="55" t="s">
        <v>57</v>
      </c>
      <c r="G62" s="95"/>
      <c r="H62" s="56" t="s">
        <v>34</v>
      </c>
      <c r="I62" s="57">
        <v>0.92179999999999995</v>
      </c>
      <c r="J62" s="58">
        <v>165</v>
      </c>
      <c r="K62" s="59" t="s">
        <v>49</v>
      </c>
      <c r="L62" s="58">
        <v>4</v>
      </c>
      <c r="M62" s="58">
        <v>0</v>
      </c>
      <c r="N62" s="58">
        <v>2</v>
      </c>
      <c r="O62" s="59" t="s">
        <v>85</v>
      </c>
      <c r="P62" s="59">
        <v>0.375</v>
      </c>
      <c r="Q62" s="58">
        <v>179</v>
      </c>
      <c r="R62" s="60" t="s">
        <v>86</v>
      </c>
    </row>
    <row r="63" spans="1:18" ht="17.399999999999999" customHeight="1" x14ac:dyDescent="0.3">
      <c r="A63" s="117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9"/>
    </row>
    <row r="64" spans="1:18" ht="22.05" customHeight="1" x14ac:dyDescent="0.3">
      <c r="A64" s="92" t="s">
        <v>6</v>
      </c>
      <c r="B64" s="93"/>
      <c r="C64" s="93"/>
      <c r="D64" s="93"/>
      <c r="E64" s="93"/>
      <c r="F64" s="94"/>
      <c r="G64" s="3">
        <v>45999</v>
      </c>
      <c r="H64" s="92" t="s">
        <v>7</v>
      </c>
      <c r="I64" s="93"/>
      <c r="J64" s="93"/>
      <c r="K64" s="93"/>
      <c r="L64" s="93"/>
      <c r="M64" s="93"/>
      <c r="N64" s="93"/>
      <c r="O64" s="93"/>
      <c r="P64" s="93"/>
      <c r="Q64" s="93"/>
      <c r="R64" s="94"/>
    </row>
    <row r="65" spans="1:18" ht="24" customHeight="1" x14ac:dyDescent="0.3">
      <c r="A65" s="4" t="s">
        <v>8</v>
      </c>
      <c r="B65" s="4" t="s">
        <v>9</v>
      </c>
      <c r="C65" s="4" t="s">
        <v>10</v>
      </c>
      <c r="D65" s="4" t="s">
        <v>11</v>
      </c>
      <c r="E65" s="4" t="s">
        <v>12</v>
      </c>
      <c r="F65" s="5" t="s">
        <v>13</v>
      </c>
      <c r="G65" s="6" t="s">
        <v>14</v>
      </c>
      <c r="H65" s="4" t="s">
        <v>15</v>
      </c>
      <c r="I65" s="4" t="s">
        <v>16</v>
      </c>
      <c r="J65" s="4" t="s">
        <v>17</v>
      </c>
      <c r="K65" s="4" t="s">
        <v>18</v>
      </c>
      <c r="L65" s="4" t="s">
        <v>19</v>
      </c>
      <c r="M65" s="4" t="s">
        <v>20</v>
      </c>
      <c r="N65" s="4" t="s">
        <v>21</v>
      </c>
      <c r="O65" s="4" t="s">
        <v>22</v>
      </c>
      <c r="P65" s="4" t="s">
        <v>23</v>
      </c>
      <c r="Q65" s="4" t="s">
        <v>24</v>
      </c>
      <c r="R65" s="4" t="s">
        <v>25</v>
      </c>
    </row>
    <row r="66" spans="1:18" ht="49.95" customHeight="1" x14ac:dyDescent="0.3">
      <c r="A66" s="37" t="s">
        <v>31</v>
      </c>
      <c r="B66" s="37" t="s">
        <v>32</v>
      </c>
      <c r="C66" s="37">
        <v>0.3263888888888889</v>
      </c>
      <c r="D66" s="37" t="s">
        <v>28</v>
      </c>
      <c r="E66" s="37" t="s">
        <v>29</v>
      </c>
      <c r="F66" s="37" t="s">
        <v>43</v>
      </c>
      <c r="G66" s="95"/>
      <c r="H66" s="18" t="s">
        <v>34</v>
      </c>
      <c r="I66" s="61">
        <v>0.79330000000000001</v>
      </c>
      <c r="J66" s="20">
        <v>142</v>
      </c>
      <c r="K66" s="21" t="s">
        <v>49</v>
      </c>
      <c r="L66" s="20">
        <v>3</v>
      </c>
      <c r="M66" s="20">
        <v>0</v>
      </c>
      <c r="N66" s="20">
        <v>2</v>
      </c>
      <c r="O66" s="21" t="s">
        <v>45</v>
      </c>
      <c r="P66" s="21">
        <v>0.3263888888888889</v>
      </c>
      <c r="Q66" s="20">
        <v>179</v>
      </c>
      <c r="R66" s="22" t="s">
        <v>87</v>
      </c>
    </row>
    <row r="67" spans="1:18" ht="17.399999999999999" customHeight="1" x14ac:dyDescent="0.3">
      <c r="A67" s="117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9"/>
    </row>
    <row r="68" spans="1:18" ht="22.05" customHeight="1" x14ac:dyDescent="0.3">
      <c r="A68" s="92" t="s">
        <v>6</v>
      </c>
      <c r="B68" s="93"/>
      <c r="C68" s="93"/>
      <c r="D68" s="93"/>
      <c r="E68" s="93"/>
      <c r="F68" s="94"/>
      <c r="G68" s="3">
        <v>46000</v>
      </c>
      <c r="H68" s="92" t="s">
        <v>7</v>
      </c>
      <c r="I68" s="93"/>
      <c r="J68" s="93"/>
      <c r="K68" s="93"/>
      <c r="L68" s="93"/>
      <c r="M68" s="93"/>
      <c r="N68" s="93"/>
      <c r="O68" s="93"/>
      <c r="P68" s="93"/>
      <c r="Q68" s="93"/>
      <c r="R68" s="94"/>
    </row>
    <row r="69" spans="1:18" ht="24" customHeight="1" x14ac:dyDescent="0.3">
      <c r="A69" s="4" t="s">
        <v>8</v>
      </c>
      <c r="B69" s="4" t="s">
        <v>9</v>
      </c>
      <c r="C69" s="4" t="s">
        <v>10</v>
      </c>
      <c r="D69" s="4" t="s">
        <v>11</v>
      </c>
      <c r="E69" s="4" t="s">
        <v>12</v>
      </c>
      <c r="F69" s="5" t="s">
        <v>13</v>
      </c>
      <c r="G69" s="6" t="s">
        <v>14</v>
      </c>
      <c r="H69" s="4" t="s">
        <v>15</v>
      </c>
      <c r="I69" s="4" t="s">
        <v>16</v>
      </c>
      <c r="J69" s="4" t="s">
        <v>17</v>
      </c>
      <c r="K69" s="4" t="s">
        <v>18</v>
      </c>
      <c r="L69" s="4" t="s">
        <v>19</v>
      </c>
      <c r="M69" s="4" t="s">
        <v>20</v>
      </c>
      <c r="N69" s="4" t="s">
        <v>21</v>
      </c>
      <c r="O69" s="4" t="s">
        <v>22</v>
      </c>
      <c r="P69" s="4" t="s">
        <v>23</v>
      </c>
      <c r="Q69" s="4" t="s">
        <v>24</v>
      </c>
      <c r="R69" s="4" t="s">
        <v>25</v>
      </c>
    </row>
    <row r="70" spans="1:18" ht="49.95" customHeight="1" x14ac:dyDescent="0.3">
      <c r="A70" s="7" t="s">
        <v>26</v>
      </c>
      <c r="B70" s="7" t="s">
        <v>27</v>
      </c>
      <c r="C70" s="7">
        <v>0.17708333333333329</v>
      </c>
      <c r="D70" s="7" t="s">
        <v>28</v>
      </c>
      <c r="E70" s="7" t="s">
        <v>47</v>
      </c>
      <c r="F70" s="7" t="s">
        <v>88</v>
      </c>
      <c r="G70" s="95"/>
      <c r="H70" s="8"/>
      <c r="I70" s="9"/>
      <c r="J70" s="9"/>
      <c r="K70" s="9"/>
      <c r="L70" s="9"/>
      <c r="M70" s="9"/>
      <c r="N70" s="9"/>
      <c r="O70" s="9"/>
      <c r="P70" s="9"/>
      <c r="Q70" s="9"/>
      <c r="R70" s="10"/>
    </row>
    <row r="71" spans="1:18" ht="49.95" customHeight="1" x14ac:dyDescent="0.3">
      <c r="A71" s="23" t="s">
        <v>31</v>
      </c>
      <c r="B71" s="23" t="s">
        <v>32</v>
      </c>
      <c r="C71" s="23">
        <v>0.99305555555555547</v>
      </c>
      <c r="D71" s="23" t="s">
        <v>28</v>
      </c>
      <c r="E71" s="23" t="s">
        <v>89</v>
      </c>
      <c r="F71" s="23" t="s">
        <v>53</v>
      </c>
      <c r="G71" s="95"/>
      <c r="H71" s="24" t="s">
        <v>34</v>
      </c>
      <c r="I71" s="25">
        <v>0.87150000000000005</v>
      </c>
      <c r="J71" s="26">
        <v>156</v>
      </c>
      <c r="K71" s="27" t="s">
        <v>49</v>
      </c>
      <c r="L71" s="26">
        <v>11</v>
      </c>
      <c r="M71" s="26">
        <v>0</v>
      </c>
      <c r="N71" s="26">
        <v>3</v>
      </c>
      <c r="O71" s="27" t="s">
        <v>90</v>
      </c>
      <c r="P71" s="27">
        <v>0.99305555555555547</v>
      </c>
      <c r="Q71" s="26">
        <v>179</v>
      </c>
      <c r="R71" s="28" t="s">
        <v>91</v>
      </c>
    </row>
    <row r="72" spans="1:18" ht="17.399999999999999" customHeight="1" x14ac:dyDescent="0.3">
      <c r="A72" s="117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9"/>
    </row>
    <row r="73" spans="1:18" ht="22.05" customHeight="1" x14ac:dyDescent="0.3">
      <c r="A73" s="92" t="s">
        <v>6</v>
      </c>
      <c r="B73" s="93"/>
      <c r="C73" s="93"/>
      <c r="D73" s="93"/>
      <c r="E73" s="93"/>
      <c r="F73" s="94"/>
      <c r="G73" s="3">
        <v>46001</v>
      </c>
      <c r="H73" s="92" t="s">
        <v>7</v>
      </c>
      <c r="I73" s="93"/>
      <c r="J73" s="93"/>
      <c r="K73" s="93"/>
      <c r="L73" s="93"/>
      <c r="M73" s="93"/>
      <c r="N73" s="93"/>
      <c r="O73" s="93"/>
      <c r="P73" s="93"/>
      <c r="Q73" s="93"/>
      <c r="R73" s="94"/>
    </row>
    <row r="74" spans="1:18" ht="24" customHeight="1" x14ac:dyDescent="0.3">
      <c r="A74" s="4" t="s">
        <v>8</v>
      </c>
      <c r="B74" s="4" t="s">
        <v>9</v>
      </c>
      <c r="C74" s="4" t="s">
        <v>10</v>
      </c>
      <c r="D74" s="4" t="s">
        <v>11</v>
      </c>
      <c r="E74" s="4" t="s">
        <v>12</v>
      </c>
      <c r="F74" s="5" t="s">
        <v>13</v>
      </c>
      <c r="G74" s="6" t="s">
        <v>14</v>
      </c>
      <c r="H74" s="4" t="s">
        <v>15</v>
      </c>
      <c r="I74" s="4" t="s">
        <v>16</v>
      </c>
      <c r="J74" s="4" t="s">
        <v>17</v>
      </c>
      <c r="K74" s="4" t="s">
        <v>18</v>
      </c>
      <c r="L74" s="4" t="s">
        <v>19</v>
      </c>
      <c r="M74" s="4" t="s">
        <v>20</v>
      </c>
      <c r="N74" s="4" t="s">
        <v>21</v>
      </c>
      <c r="O74" s="4" t="s">
        <v>22</v>
      </c>
      <c r="P74" s="4" t="s">
        <v>23</v>
      </c>
      <c r="Q74" s="4" t="s">
        <v>24</v>
      </c>
      <c r="R74" s="4" t="s">
        <v>25</v>
      </c>
    </row>
    <row r="75" spans="1:18" ht="49.95" customHeight="1" x14ac:dyDescent="0.3">
      <c r="A75" s="31" t="s">
        <v>31</v>
      </c>
      <c r="B75" s="31" t="s">
        <v>32</v>
      </c>
      <c r="C75" s="31">
        <v>0.98611111111111116</v>
      </c>
      <c r="D75" s="31" t="s">
        <v>28</v>
      </c>
      <c r="E75" s="31" t="s">
        <v>89</v>
      </c>
      <c r="F75" s="31" t="s">
        <v>57</v>
      </c>
      <c r="G75" s="95"/>
      <c r="H75" s="32" t="s">
        <v>34</v>
      </c>
      <c r="I75" s="33">
        <v>0.97209999999999996</v>
      </c>
      <c r="J75" s="34">
        <v>174</v>
      </c>
      <c r="K75" s="35" t="s">
        <v>35</v>
      </c>
      <c r="L75" s="34">
        <v>8</v>
      </c>
      <c r="M75" s="34">
        <v>0</v>
      </c>
      <c r="N75" s="34">
        <v>0</v>
      </c>
      <c r="O75" s="35" t="s">
        <v>92</v>
      </c>
      <c r="P75" s="35">
        <v>0.98611111111111116</v>
      </c>
      <c r="Q75" s="34">
        <v>179</v>
      </c>
      <c r="R75" s="36" t="s">
        <v>93</v>
      </c>
    </row>
  </sheetData>
  <mergeCells count="70">
    <mergeCell ref="G11:G12"/>
    <mergeCell ref="G58"/>
    <mergeCell ref="H14:R14"/>
    <mergeCell ref="N1:R1"/>
    <mergeCell ref="H52:R52"/>
    <mergeCell ref="A52:F52"/>
    <mergeCell ref="A72:R72"/>
    <mergeCell ref="G48:G50"/>
    <mergeCell ref="A19:F19"/>
    <mergeCell ref="A68:F68"/>
    <mergeCell ref="A63:R63"/>
    <mergeCell ref="A9:F9"/>
    <mergeCell ref="A31:F31"/>
    <mergeCell ref="A13:R13"/>
    <mergeCell ref="K2:R2"/>
    <mergeCell ref="H19:R19"/>
    <mergeCell ref="A67:R67"/>
    <mergeCell ref="G16:G17"/>
    <mergeCell ref="G66"/>
    <mergeCell ref="G2:J2"/>
    <mergeCell ref="A35:F35"/>
    <mergeCell ref="A4:F4"/>
    <mergeCell ref="H73:R73"/>
    <mergeCell ref="A8:R8"/>
    <mergeCell ref="A22:R22"/>
    <mergeCell ref="A64:F64"/>
    <mergeCell ref="A34:R34"/>
    <mergeCell ref="A40:R40"/>
    <mergeCell ref="G62"/>
    <mergeCell ref="A73:F73"/>
    <mergeCell ref="H27:R27"/>
    <mergeCell ref="A30:R30"/>
    <mergeCell ref="G37:G39"/>
    <mergeCell ref="A59:R59"/>
    <mergeCell ref="A60:F60"/>
    <mergeCell ref="G75"/>
    <mergeCell ref="A14:F14"/>
    <mergeCell ref="A23:F23"/>
    <mergeCell ref="H68:R68"/>
    <mergeCell ref="G21"/>
    <mergeCell ref="H46:R46"/>
    <mergeCell ref="H60:R60"/>
    <mergeCell ref="H64:R64"/>
    <mergeCell ref="A51:R51"/>
    <mergeCell ref="G33"/>
    <mergeCell ref="A45:R45"/>
    <mergeCell ref="H1:L1"/>
    <mergeCell ref="A1:E1"/>
    <mergeCell ref="G25"/>
    <mergeCell ref="A56:F56"/>
    <mergeCell ref="G54"/>
    <mergeCell ref="H41:R41"/>
    <mergeCell ref="H4:R4"/>
    <mergeCell ref="A18:R18"/>
    <mergeCell ref="A2:F2"/>
    <mergeCell ref="A3:R3"/>
    <mergeCell ref="H9:R9"/>
    <mergeCell ref="A26:R26"/>
    <mergeCell ref="H31:R31"/>
    <mergeCell ref="A55:R55"/>
    <mergeCell ref="H56:R56"/>
    <mergeCell ref="G6:G7"/>
    <mergeCell ref="H23:R23"/>
    <mergeCell ref="A41:F41"/>
    <mergeCell ref="G70:G71"/>
    <mergeCell ref="G43:G44"/>
    <mergeCell ref="A46:F46"/>
    <mergeCell ref="H35:R35"/>
    <mergeCell ref="G29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"/>
  <sheetViews>
    <sheetView workbookViewId="0"/>
  </sheetViews>
  <sheetFormatPr defaultRowHeight="15.6" outlineLevelCol="1" x14ac:dyDescent="0.3"/>
  <cols>
    <col min="1" max="1" width="11.5546875" style="104" bestFit="1" customWidth="1"/>
    <col min="2" max="2" width="10.44140625" style="104" bestFit="1" customWidth="1"/>
    <col min="3" max="3" width="6.77734375" style="104" bestFit="1" customWidth="1"/>
    <col min="4" max="4" width="5.5546875" style="104" bestFit="1" customWidth="1"/>
    <col min="5" max="5" width="8.109375" style="104" bestFit="1" customWidth="1"/>
    <col min="6" max="6" width="4.21875" style="104" bestFit="1" customWidth="1"/>
    <col min="7" max="7" width="10" style="104" bestFit="1" customWidth="1"/>
    <col min="8" max="10" width="8.5546875" style="104" bestFit="1" customWidth="1"/>
    <col min="11" max="11" width="10.5546875" style="104" bestFit="1" customWidth="1"/>
    <col min="12" max="12" width="18.109375" style="104" bestFit="1" customWidth="1"/>
    <col min="13" max="13" width="7.6640625" style="104" bestFit="1" customWidth="1" outlineLevel="1"/>
    <col min="14" max="14" width="6.33203125" style="104" bestFit="1" customWidth="1" outlineLevel="1"/>
    <col min="15" max="15" width="8" style="104" bestFit="1" customWidth="1" outlineLevel="1"/>
    <col min="16" max="16" width="13.6640625" style="104" bestFit="1" customWidth="1"/>
    <col min="17" max="24" width="3.88671875" style="104" bestFit="1" customWidth="1"/>
    <col min="25" max="25" width="4.44140625" style="104" bestFit="1" customWidth="1"/>
    <col min="26" max="26" width="3.88671875" style="104" bestFit="1" customWidth="1"/>
    <col min="27" max="27" width="5" style="104" bestFit="1" customWidth="1"/>
    <col min="28" max="29" width="4.21875" style="104" bestFit="1" customWidth="1"/>
    <col min="30" max="31" width="4.5546875" style="104" bestFit="1" customWidth="1"/>
    <col min="32" max="32" width="3.88671875" style="104" bestFit="1" customWidth="1"/>
    <col min="33" max="33" width="4.21875" style="104" bestFit="1" customWidth="1"/>
    <col min="34" max="34" width="3.88671875" style="104" bestFit="1" customWidth="1"/>
    <col min="35" max="35" width="5.21875" style="104" bestFit="1" customWidth="1"/>
    <col min="36" max="36" width="3.88671875" style="104" bestFit="1" customWidth="1"/>
    <col min="37" max="16384" width="8.88671875" style="104"/>
  </cols>
  <sheetData>
    <row r="1" spans="1:36" x14ac:dyDescent="0.3">
      <c r="A1" s="103" t="s">
        <v>94</v>
      </c>
      <c r="B1" s="103" t="s">
        <v>95</v>
      </c>
      <c r="C1" s="103" t="s">
        <v>96</v>
      </c>
      <c r="D1" s="103" t="s">
        <v>23</v>
      </c>
      <c r="E1" s="103" t="s">
        <v>97</v>
      </c>
      <c r="F1" s="103" t="s">
        <v>98</v>
      </c>
      <c r="G1" s="103" t="s">
        <v>16</v>
      </c>
      <c r="H1" s="103" t="s">
        <v>99</v>
      </c>
      <c r="I1" s="103" t="s">
        <v>100</v>
      </c>
      <c r="J1" s="103" t="s">
        <v>101</v>
      </c>
      <c r="K1" s="103" t="s">
        <v>102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103</v>
      </c>
      <c r="R1" s="103" t="s">
        <v>104</v>
      </c>
      <c r="S1" s="103" t="s">
        <v>105</v>
      </c>
      <c r="T1" s="103" t="s">
        <v>106</v>
      </c>
      <c r="U1" s="103" t="s">
        <v>107</v>
      </c>
      <c r="V1" s="103" t="s">
        <v>108</v>
      </c>
      <c r="W1" s="103" t="s">
        <v>109</v>
      </c>
      <c r="X1" s="103" t="s">
        <v>110</v>
      </c>
      <c r="Y1" s="103" t="s">
        <v>111</v>
      </c>
      <c r="Z1" s="103" t="s">
        <v>112</v>
      </c>
      <c r="AA1" s="103" t="s">
        <v>113</v>
      </c>
      <c r="AB1" s="103" t="s">
        <v>114</v>
      </c>
      <c r="AC1" s="103" t="s">
        <v>115</v>
      </c>
      <c r="AD1" s="103" t="s">
        <v>116</v>
      </c>
      <c r="AE1" s="103" t="s">
        <v>117</v>
      </c>
      <c r="AF1" s="103" t="s">
        <v>118</v>
      </c>
      <c r="AG1" s="103" t="s">
        <v>119</v>
      </c>
      <c r="AH1" s="103" t="s">
        <v>120</v>
      </c>
      <c r="AI1" s="103" t="s">
        <v>121</v>
      </c>
      <c r="AJ1" s="103" t="s">
        <v>122</v>
      </c>
    </row>
    <row r="2" spans="1:36" x14ac:dyDescent="0.3">
      <c r="A2" s="105" t="s">
        <v>123</v>
      </c>
      <c r="B2" s="106">
        <v>45986</v>
      </c>
      <c r="C2" s="107" t="s">
        <v>34</v>
      </c>
      <c r="D2" s="108" t="s">
        <v>124</v>
      </c>
      <c r="E2" s="107" t="s">
        <v>1</v>
      </c>
      <c r="F2" s="107" t="s">
        <v>125</v>
      </c>
      <c r="G2" s="109">
        <v>0.94969999999999999</v>
      </c>
      <c r="H2" s="110">
        <v>179</v>
      </c>
      <c r="I2" s="110">
        <v>170</v>
      </c>
      <c r="J2" s="110">
        <v>158</v>
      </c>
      <c r="K2" s="107" t="s">
        <v>126</v>
      </c>
      <c r="L2" s="111" t="s">
        <v>35</v>
      </c>
      <c r="M2" s="110">
        <v>0</v>
      </c>
      <c r="N2" s="110">
        <v>0</v>
      </c>
      <c r="O2" s="110">
        <v>3</v>
      </c>
      <c r="P2" s="107" t="s">
        <v>36</v>
      </c>
      <c r="Q2" s="103"/>
      <c r="R2" s="103"/>
      <c r="S2" s="103"/>
      <c r="T2" s="103"/>
      <c r="U2" s="103"/>
      <c r="V2" s="103"/>
      <c r="W2" s="103"/>
      <c r="X2" s="110" t="s">
        <v>127</v>
      </c>
      <c r="Y2" s="103"/>
      <c r="Z2" s="110" t="s">
        <v>128</v>
      </c>
      <c r="AA2" s="103"/>
      <c r="AB2" s="103"/>
      <c r="AC2" s="110" t="s">
        <v>129</v>
      </c>
      <c r="AD2" s="103"/>
      <c r="AE2" s="103"/>
      <c r="AF2" s="103"/>
      <c r="AG2" s="103"/>
      <c r="AH2" s="103"/>
      <c r="AI2" s="110" t="s">
        <v>130</v>
      </c>
      <c r="AJ2" s="103"/>
    </row>
    <row r="3" spans="1:36" x14ac:dyDescent="0.3">
      <c r="A3" s="105" t="s">
        <v>131</v>
      </c>
      <c r="B3" s="106">
        <v>45987</v>
      </c>
      <c r="C3" s="107" t="s">
        <v>34</v>
      </c>
      <c r="D3" s="108" t="s">
        <v>132</v>
      </c>
      <c r="E3" s="107" t="s">
        <v>1</v>
      </c>
      <c r="F3" s="107" t="s">
        <v>125</v>
      </c>
      <c r="G3" s="109">
        <v>0.86029999999999995</v>
      </c>
      <c r="H3" s="110">
        <v>179</v>
      </c>
      <c r="I3" s="110">
        <v>154</v>
      </c>
      <c r="J3" s="110">
        <v>117</v>
      </c>
      <c r="K3" s="107" t="s">
        <v>126</v>
      </c>
      <c r="L3" s="111" t="s">
        <v>44</v>
      </c>
      <c r="M3" s="110">
        <v>0</v>
      </c>
      <c r="N3" s="110">
        <v>0</v>
      </c>
      <c r="O3" s="110">
        <v>12</v>
      </c>
      <c r="P3" s="107" t="s">
        <v>45</v>
      </c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10" t="s">
        <v>133</v>
      </c>
      <c r="AB3" s="110" t="s">
        <v>134</v>
      </c>
      <c r="AC3" s="110" t="s">
        <v>135</v>
      </c>
      <c r="AD3" s="110" t="s">
        <v>136</v>
      </c>
      <c r="AE3" s="110" t="s">
        <v>137</v>
      </c>
      <c r="AF3" s="110" t="s">
        <v>138</v>
      </c>
      <c r="AG3" s="103"/>
      <c r="AH3" s="103"/>
      <c r="AI3" s="110" t="s">
        <v>139</v>
      </c>
      <c r="AJ3" s="103"/>
    </row>
    <row r="4" spans="1:36" x14ac:dyDescent="0.3">
      <c r="A4" s="105" t="s">
        <v>140</v>
      </c>
      <c r="B4" s="106">
        <v>45988</v>
      </c>
      <c r="C4" s="107" t="s">
        <v>34</v>
      </c>
      <c r="D4" s="108" t="s">
        <v>141</v>
      </c>
      <c r="E4" s="107" t="s">
        <v>1</v>
      </c>
      <c r="F4" s="107" t="s">
        <v>125</v>
      </c>
      <c r="G4" s="109">
        <v>0.95530000000000004</v>
      </c>
      <c r="H4" s="110">
        <v>179</v>
      </c>
      <c r="I4" s="110">
        <v>171</v>
      </c>
      <c r="J4" s="110">
        <v>137</v>
      </c>
      <c r="K4" s="107" t="s">
        <v>126</v>
      </c>
      <c r="L4" s="111" t="s">
        <v>49</v>
      </c>
      <c r="M4" s="110">
        <v>0</v>
      </c>
      <c r="N4" s="110">
        <v>2</v>
      </c>
      <c r="O4" s="110">
        <v>4</v>
      </c>
      <c r="P4" s="107" t="s">
        <v>50</v>
      </c>
      <c r="Q4" s="103"/>
      <c r="R4" s="103"/>
      <c r="S4" s="103"/>
      <c r="T4" s="103"/>
      <c r="U4" s="103"/>
      <c r="V4" s="110" t="s">
        <v>142</v>
      </c>
      <c r="W4" s="110" t="s">
        <v>143</v>
      </c>
      <c r="X4" s="103"/>
      <c r="Y4" s="103"/>
      <c r="Z4" s="103"/>
      <c r="AA4" s="110" t="s">
        <v>65</v>
      </c>
      <c r="AB4" s="110" t="s">
        <v>144</v>
      </c>
      <c r="AC4" s="110" t="s">
        <v>145</v>
      </c>
      <c r="AD4" s="103"/>
      <c r="AE4" s="103"/>
      <c r="AF4" s="103"/>
      <c r="AG4" s="103"/>
      <c r="AH4" s="103"/>
      <c r="AI4" s="110" t="s">
        <v>146</v>
      </c>
      <c r="AJ4" s="103"/>
    </row>
    <row r="5" spans="1:36" x14ac:dyDescent="0.3">
      <c r="A5" s="105" t="s">
        <v>147</v>
      </c>
      <c r="B5" s="106">
        <v>45989</v>
      </c>
      <c r="C5" s="107" t="s">
        <v>34</v>
      </c>
      <c r="D5" s="108" t="s">
        <v>148</v>
      </c>
      <c r="E5" s="107" t="s">
        <v>1</v>
      </c>
      <c r="F5" s="107" t="s">
        <v>125</v>
      </c>
      <c r="G5" s="109">
        <v>0.83240000000000003</v>
      </c>
      <c r="H5" s="110">
        <v>179</v>
      </c>
      <c r="I5" s="110">
        <v>149</v>
      </c>
      <c r="J5" s="110">
        <v>40</v>
      </c>
      <c r="K5" s="107" t="s">
        <v>126</v>
      </c>
      <c r="L5" s="111" t="s">
        <v>54</v>
      </c>
      <c r="M5" s="110">
        <v>2</v>
      </c>
      <c r="N5" s="110">
        <v>1</v>
      </c>
      <c r="O5" s="110">
        <v>47</v>
      </c>
      <c r="P5" s="107" t="s">
        <v>55</v>
      </c>
      <c r="Q5" s="103"/>
      <c r="R5" s="103"/>
      <c r="S5" s="103"/>
      <c r="T5" s="103"/>
      <c r="U5" s="103"/>
      <c r="V5" s="103"/>
      <c r="W5" s="110" t="s">
        <v>149</v>
      </c>
      <c r="X5" s="103"/>
      <c r="Y5" s="103"/>
      <c r="Z5" s="110" t="s">
        <v>82</v>
      </c>
      <c r="AA5" s="110" t="s">
        <v>150</v>
      </c>
      <c r="AB5" s="110" t="s">
        <v>151</v>
      </c>
      <c r="AC5" s="110" t="s">
        <v>152</v>
      </c>
      <c r="AD5" s="110" t="s">
        <v>153</v>
      </c>
      <c r="AE5" s="110" t="s">
        <v>154</v>
      </c>
      <c r="AF5" s="110" t="s">
        <v>155</v>
      </c>
      <c r="AG5" s="103"/>
      <c r="AH5" s="103"/>
      <c r="AI5" s="110" t="s">
        <v>156</v>
      </c>
      <c r="AJ5" s="103"/>
    </row>
    <row r="6" spans="1:36" x14ac:dyDescent="0.3">
      <c r="A6" s="105" t="s">
        <v>157</v>
      </c>
      <c r="B6" s="106">
        <v>45990</v>
      </c>
      <c r="C6" s="107" t="s">
        <v>34</v>
      </c>
      <c r="D6" s="108" t="s">
        <v>158</v>
      </c>
      <c r="E6" s="107" t="s">
        <v>1</v>
      </c>
      <c r="F6" s="107" t="s">
        <v>125</v>
      </c>
      <c r="G6" s="109">
        <v>0.94410000000000005</v>
      </c>
      <c r="H6" s="110">
        <v>179</v>
      </c>
      <c r="I6" s="110">
        <v>169</v>
      </c>
      <c r="J6" s="110">
        <v>137</v>
      </c>
      <c r="K6" s="107" t="s">
        <v>126</v>
      </c>
      <c r="L6" s="111" t="s">
        <v>49</v>
      </c>
      <c r="M6" s="110">
        <v>0</v>
      </c>
      <c r="N6" s="110">
        <v>3</v>
      </c>
      <c r="O6" s="110">
        <v>10</v>
      </c>
      <c r="P6" s="107" t="s">
        <v>58</v>
      </c>
      <c r="Q6" s="110" t="s">
        <v>159</v>
      </c>
      <c r="R6" s="103"/>
      <c r="S6" s="103"/>
      <c r="T6" s="103"/>
      <c r="U6" s="103"/>
      <c r="V6" s="103"/>
      <c r="W6" s="103"/>
      <c r="X6" s="103"/>
      <c r="Y6" s="110" t="s">
        <v>160</v>
      </c>
      <c r="Z6" s="103"/>
      <c r="AA6" s="110" t="s">
        <v>161</v>
      </c>
      <c r="AB6" s="103"/>
      <c r="AC6" s="110" t="s">
        <v>162</v>
      </c>
      <c r="AD6" s="110" t="s">
        <v>163</v>
      </c>
      <c r="AE6" s="110" t="s">
        <v>164</v>
      </c>
      <c r="AF6" s="110" t="s">
        <v>165</v>
      </c>
      <c r="AG6" s="103"/>
      <c r="AH6" s="103"/>
      <c r="AI6" s="110" t="s">
        <v>146</v>
      </c>
      <c r="AJ6" s="103"/>
    </row>
    <row r="7" spans="1:36" x14ac:dyDescent="0.3">
      <c r="A7" s="105" t="s">
        <v>166</v>
      </c>
      <c r="B7" s="106">
        <v>45991</v>
      </c>
      <c r="C7" s="107" t="s">
        <v>34</v>
      </c>
      <c r="D7" s="108" t="s">
        <v>167</v>
      </c>
      <c r="E7" s="107" t="s">
        <v>1</v>
      </c>
      <c r="F7" s="107" t="s">
        <v>125</v>
      </c>
      <c r="G7" s="109">
        <v>0.96650000000000003</v>
      </c>
      <c r="H7" s="110">
        <v>179</v>
      </c>
      <c r="I7" s="110">
        <v>173</v>
      </c>
      <c r="J7" s="110">
        <v>89</v>
      </c>
      <c r="K7" s="107" t="s">
        <v>126</v>
      </c>
      <c r="L7" s="111" t="s">
        <v>49</v>
      </c>
      <c r="M7" s="110">
        <v>0</v>
      </c>
      <c r="N7" s="110">
        <v>1</v>
      </c>
      <c r="O7" s="110">
        <v>23</v>
      </c>
      <c r="P7" s="107" t="s">
        <v>62</v>
      </c>
      <c r="Q7" s="103"/>
      <c r="R7" s="103"/>
      <c r="S7" s="103"/>
      <c r="T7" s="103"/>
      <c r="U7" s="103"/>
      <c r="V7" s="103"/>
      <c r="W7" s="103"/>
      <c r="X7" s="103"/>
      <c r="Y7" s="103"/>
      <c r="Z7" s="110" t="s">
        <v>168</v>
      </c>
      <c r="AA7" s="110" t="s">
        <v>161</v>
      </c>
      <c r="AB7" s="110" t="s">
        <v>169</v>
      </c>
      <c r="AC7" s="110" t="s">
        <v>162</v>
      </c>
      <c r="AD7" s="110" t="s">
        <v>170</v>
      </c>
      <c r="AE7" s="110" t="s">
        <v>171</v>
      </c>
      <c r="AF7" s="110" t="s">
        <v>172</v>
      </c>
      <c r="AG7" s="103"/>
      <c r="AH7" s="103"/>
      <c r="AI7" s="110" t="s">
        <v>173</v>
      </c>
      <c r="AJ7" s="103"/>
    </row>
    <row r="8" spans="1:36" x14ac:dyDescent="0.3">
      <c r="A8" s="105" t="s">
        <v>174</v>
      </c>
      <c r="B8" s="106">
        <v>45992</v>
      </c>
      <c r="C8" s="107" t="s">
        <v>34</v>
      </c>
      <c r="D8" s="108" t="s">
        <v>148</v>
      </c>
      <c r="E8" s="107" t="s">
        <v>1</v>
      </c>
      <c r="F8" s="107" t="s">
        <v>125</v>
      </c>
      <c r="G8" s="109">
        <v>0.88270000000000004</v>
      </c>
      <c r="H8" s="110">
        <v>179</v>
      </c>
      <c r="I8" s="110">
        <v>158</v>
      </c>
      <c r="J8" s="110">
        <v>130</v>
      </c>
      <c r="K8" s="107" t="s">
        <v>126</v>
      </c>
      <c r="L8" s="111" t="s">
        <v>54</v>
      </c>
      <c r="M8" s="110">
        <v>1</v>
      </c>
      <c r="N8" s="110">
        <v>1</v>
      </c>
      <c r="O8" s="110">
        <v>11</v>
      </c>
      <c r="P8" s="107" t="s">
        <v>65</v>
      </c>
      <c r="Q8" s="103"/>
      <c r="R8" s="103"/>
      <c r="S8" s="103"/>
      <c r="T8" s="103"/>
      <c r="U8" s="103"/>
      <c r="V8" s="103"/>
      <c r="W8" s="103"/>
      <c r="X8" s="103"/>
      <c r="Y8" s="103"/>
      <c r="Z8" s="110" t="s">
        <v>175</v>
      </c>
      <c r="AA8" s="110" t="s">
        <v>176</v>
      </c>
      <c r="AB8" s="103"/>
      <c r="AC8" s="103"/>
      <c r="AD8" s="103"/>
      <c r="AE8" s="103"/>
      <c r="AF8" s="110" t="s">
        <v>177</v>
      </c>
      <c r="AG8" s="103"/>
      <c r="AH8" s="103"/>
      <c r="AI8" s="110" t="s">
        <v>178</v>
      </c>
      <c r="AJ8" s="103"/>
    </row>
    <row r="9" spans="1:36" x14ac:dyDescent="0.3">
      <c r="A9" s="105" t="s">
        <v>123</v>
      </c>
      <c r="B9" s="106">
        <v>45993</v>
      </c>
      <c r="C9" s="107" t="s">
        <v>34</v>
      </c>
      <c r="D9" s="108" t="s">
        <v>124</v>
      </c>
      <c r="E9" s="107" t="s">
        <v>1</v>
      </c>
      <c r="F9" s="107" t="s">
        <v>125</v>
      </c>
      <c r="G9" s="109">
        <v>0.93300000000000005</v>
      </c>
      <c r="H9" s="110">
        <v>179</v>
      </c>
      <c r="I9" s="110">
        <v>167</v>
      </c>
      <c r="J9" s="110">
        <v>156</v>
      </c>
      <c r="K9" s="107" t="s">
        <v>126</v>
      </c>
      <c r="L9" s="111" t="s">
        <v>70</v>
      </c>
      <c r="M9" s="110">
        <v>0</v>
      </c>
      <c r="N9" s="110">
        <v>0</v>
      </c>
      <c r="O9" s="110">
        <v>4</v>
      </c>
      <c r="P9" s="107" t="s">
        <v>71</v>
      </c>
      <c r="Q9" s="103"/>
      <c r="R9" s="103"/>
      <c r="S9" s="103"/>
      <c r="T9" s="103"/>
      <c r="U9" s="103"/>
      <c r="V9" s="103"/>
      <c r="W9" s="103"/>
      <c r="X9" s="103"/>
      <c r="Y9" s="103"/>
      <c r="Z9" s="110" t="s">
        <v>168</v>
      </c>
      <c r="AA9" s="110" t="s">
        <v>179</v>
      </c>
      <c r="AB9" s="103"/>
      <c r="AC9" s="103"/>
      <c r="AD9" s="103"/>
      <c r="AE9" s="103"/>
      <c r="AF9" s="103"/>
      <c r="AG9" s="103"/>
      <c r="AH9" s="103"/>
      <c r="AI9" s="110" t="s">
        <v>180</v>
      </c>
      <c r="AJ9" s="103"/>
    </row>
    <row r="10" spans="1:36" x14ac:dyDescent="0.3">
      <c r="A10" s="105" t="s">
        <v>131</v>
      </c>
      <c r="B10" s="106">
        <v>45994</v>
      </c>
      <c r="C10" s="107" t="s">
        <v>34</v>
      </c>
      <c r="D10" s="108" t="s">
        <v>132</v>
      </c>
      <c r="E10" s="107" t="s">
        <v>1</v>
      </c>
      <c r="F10" s="107" t="s">
        <v>125</v>
      </c>
      <c r="G10" s="109">
        <v>0.68159999999999998</v>
      </c>
      <c r="H10" s="110">
        <v>179</v>
      </c>
      <c r="I10" s="110">
        <v>122</v>
      </c>
      <c r="J10" s="110">
        <v>106</v>
      </c>
      <c r="K10" s="107" t="s">
        <v>126</v>
      </c>
      <c r="L10" s="111" t="s">
        <v>54</v>
      </c>
      <c r="M10" s="110">
        <v>1</v>
      </c>
      <c r="N10" s="110">
        <v>0</v>
      </c>
      <c r="O10" s="110">
        <v>15</v>
      </c>
      <c r="P10" s="107" t="s">
        <v>74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10" t="s">
        <v>128</v>
      </c>
      <c r="AA10" s="110" t="s">
        <v>65</v>
      </c>
      <c r="AB10" s="110" t="s">
        <v>181</v>
      </c>
      <c r="AC10" s="110" t="s">
        <v>129</v>
      </c>
      <c r="AD10" s="103"/>
      <c r="AE10" s="103"/>
      <c r="AF10" s="103"/>
      <c r="AG10" s="103"/>
      <c r="AH10" s="103"/>
      <c r="AI10" s="110" t="s">
        <v>182</v>
      </c>
      <c r="AJ10" s="103"/>
    </row>
    <row r="11" spans="1:36" x14ac:dyDescent="0.3">
      <c r="A11" s="105" t="s">
        <v>140</v>
      </c>
      <c r="B11" s="106">
        <v>45995</v>
      </c>
      <c r="C11" s="107" t="s">
        <v>34</v>
      </c>
      <c r="D11" s="108" t="s">
        <v>141</v>
      </c>
      <c r="E11" s="107" t="s">
        <v>1</v>
      </c>
      <c r="F11" s="107" t="s">
        <v>125</v>
      </c>
      <c r="G11" s="109">
        <v>0.94410000000000005</v>
      </c>
      <c r="H11" s="110">
        <v>179</v>
      </c>
      <c r="I11" s="110">
        <v>169</v>
      </c>
      <c r="J11" s="110">
        <v>157</v>
      </c>
      <c r="K11" s="107" t="s">
        <v>126</v>
      </c>
      <c r="L11" s="111" t="s">
        <v>35</v>
      </c>
      <c r="M11" s="110">
        <v>0</v>
      </c>
      <c r="N11" s="110">
        <v>0</v>
      </c>
      <c r="O11" s="110">
        <v>65</v>
      </c>
      <c r="P11" s="107" t="s">
        <v>80</v>
      </c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10" t="s">
        <v>179</v>
      </c>
      <c r="AB11" s="103"/>
      <c r="AC11" s="103"/>
      <c r="AD11" s="103"/>
      <c r="AE11" s="103"/>
      <c r="AF11" s="103"/>
      <c r="AG11" s="103"/>
      <c r="AH11" s="103"/>
      <c r="AI11" s="110" t="s">
        <v>183</v>
      </c>
      <c r="AJ11" s="110" t="s">
        <v>184</v>
      </c>
    </row>
    <row r="12" spans="1:36" x14ac:dyDescent="0.3">
      <c r="A12" s="105" t="s">
        <v>147</v>
      </c>
      <c r="B12" s="106">
        <v>45996</v>
      </c>
      <c r="C12" s="107" t="s">
        <v>34</v>
      </c>
      <c r="D12" s="108" t="s">
        <v>148</v>
      </c>
      <c r="E12" s="107" t="s">
        <v>1</v>
      </c>
      <c r="F12" s="107" t="s">
        <v>125</v>
      </c>
      <c r="G12" s="109">
        <v>0.93300000000000005</v>
      </c>
      <c r="H12" s="110">
        <v>179</v>
      </c>
      <c r="I12" s="110">
        <v>167</v>
      </c>
      <c r="J12" s="110">
        <v>85</v>
      </c>
      <c r="K12" s="107" t="s">
        <v>126</v>
      </c>
      <c r="L12" s="111" t="s">
        <v>44</v>
      </c>
      <c r="M12" s="110">
        <v>0</v>
      </c>
      <c r="N12" s="110">
        <v>0</v>
      </c>
      <c r="O12" s="110">
        <v>17</v>
      </c>
      <c r="P12" s="107" t="s">
        <v>82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10" t="s">
        <v>185</v>
      </c>
      <c r="AA12" s="110" t="s">
        <v>55</v>
      </c>
      <c r="AB12" s="110" t="s">
        <v>186</v>
      </c>
      <c r="AC12" s="110" t="s">
        <v>187</v>
      </c>
      <c r="AD12" s="110" t="s">
        <v>188</v>
      </c>
      <c r="AE12" s="110" t="s">
        <v>189</v>
      </c>
      <c r="AF12" s="110" t="s">
        <v>190</v>
      </c>
      <c r="AG12" s="103"/>
      <c r="AH12" s="103"/>
      <c r="AI12" s="110" t="s">
        <v>191</v>
      </c>
      <c r="AJ12" s="103"/>
    </row>
    <row r="13" spans="1:36" x14ac:dyDescent="0.3">
      <c r="A13" s="105" t="s">
        <v>157</v>
      </c>
      <c r="B13" s="106">
        <v>45997</v>
      </c>
      <c r="C13" s="107" t="s">
        <v>34</v>
      </c>
      <c r="D13" s="108" t="s">
        <v>158</v>
      </c>
      <c r="E13" s="107" t="s">
        <v>1</v>
      </c>
      <c r="F13" s="107" t="s">
        <v>125</v>
      </c>
      <c r="G13" s="109">
        <v>0.99439999999999995</v>
      </c>
      <c r="H13" s="110">
        <v>179</v>
      </c>
      <c r="I13" s="110">
        <v>178</v>
      </c>
      <c r="J13" s="110">
        <v>169</v>
      </c>
      <c r="K13" s="107" t="s">
        <v>126</v>
      </c>
      <c r="L13" s="111" t="s">
        <v>35</v>
      </c>
      <c r="M13" s="110">
        <v>0</v>
      </c>
      <c r="N13" s="110">
        <v>0</v>
      </c>
      <c r="O13" s="110">
        <v>49</v>
      </c>
      <c r="P13" s="107" t="s">
        <v>62</v>
      </c>
      <c r="Q13" s="103"/>
      <c r="R13" s="103"/>
      <c r="S13" s="103"/>
      <c r="T13" s="103"/>
      <c r="U13" s="103"/>
      <c r="V13" s="103"/>
      <c r="W13" s="103"/>
      <c r="X13" s="103"/>
      <c r="Y13" s="103"/>
      <c r="Z13" s="110" t="s">
        <v>168</v>
      </c>
      <c r="AA13" s="110" t="s">
        <v>150</v>
      </c>
      <c r="AB13" s="103"/>
      <c r="AC13" s="103"/>
      <c r="AD13" s="103"/>
      <c r="AE13" s="103"/>
      <c r="AF13" s="103"/>
      <c r="AG13" s="110" t="s">
        <v>192</v>
      </c>
      <c r="AH13" s="103"/>
      <c r="AI13" s="110" t="s">
        <v>193</v>
      </c>
      <c r="AJ13" s="103"/>
    </row>
    <row r="14" spans="1:36" x14ac:dyDescent="0.3">
      <c r="A14" s="105" t="s">
        <v>166</v>
      </c>
      <c r="B14" s="106">
        <v>45998</v>
      </c>
      <c r="C14" s="107" t="s">
        <v>34</v>
      </c>
      <c r="D14" s="108" t="s">
        <v>167</v>
      </c>
      <c r="E14" s="107" t="s">
        <v>1</v>
      </c>
      <c r="F14" s="107" t="s">
        <v>125</v>
      </c>
      <c r="G14" s="109">
        <v>0.92179999999999995</v>
      </c>
      <c r="H14" s="110">
        <v>179</v>
      </c>
      <c r="I14" s="110">
        <v>165</v>
      </c>
      <c r="J14" s="110">
        <v>162</v>
      </c>
      <c r="K14" s="107" t="s">
        <v>126</v>
      </c>
      <c r="L14" s="111" t="s">
        <v>49</v>
      </c>
      <c r="M14" s="110">
        <v>0</v>
      </c>
      <c r="N14" s="110">
        <v>2</v>
      </c>
      <c r="O14" s="110">
        <v>4</v>
      </c>
      <c r="P14" s="107" t="s">
        <v>85</v>
      </c>
      <c r="Q14" s="103"/>
      <c r="R14" s="103"/>
      <c r="S14" s="103"/>
      <c r="T14" s="103"/>
      <c r="U14" s="103"/>
      <c r="V14" s="103"/>
      <c r="W14" s="103"/>
      <c r="X14" s="103"/>
      <c r="Y14" s="110" t="s">
        <v>194</v>
      </c>
      <c r="Z14" s="110" t="s">
        <v>82</v>
      </c>
      <c r="AA14" s="103"/>
      <c r="AB14" s="103"/>
      <c r="AC14" s="103"/>
      <c r="AD14" s="103"/>
      <c r="AE14" s="103"/>
      <c r="AF14" s="103"/>
      <c r="AG14" s="103"/>
      <c r="AH14" s="103"/>
      <c r="AI14" s="110" t="s">
        <v>195</v>
      </c>
      <c r="AJ14" s="103"/>
    </row>
    <row r="15" spans="1:36" x14ac:dyDescent="0.3">
      <c r="A15" s="105" t="s">
        <v>174</v>
      </c>
      <c r="B15" s="106">
        <v>45999</v>
      </c>
      <c r="C15" s="107" t="s">
        <v>34</v>
      </c>
      <c r="D15" s="108" t="s">
        <v>148</v>
      </c>
      <c r="E15" s="107" t="s">
        <v>1</v>
      </c>
      <c r="F15" s="107" t="s">
        <v>125</v>
      </c>
      <c r="G15" s="109">
        <v>0.79330000000000001</v>
      </c>
      <c r="H15" s="110">
        <v>179</v>
      </c>
      <c r="I15" s="110">
        <v>142</v>
      </c>
      <c r="J15" s="110">
        <v>129</v>
      </c>
      <c r="K15" s="107" t="s">
        <v>126</v>
      </c>
      <c r="L15" s="111" t="s">
        <v>49</v>
      </c>
      <c r="M15" s="110">
        <v>0</v>
      </c>
      <c r="N15" s="110">
        <v>2</v>
      </c>
      <c r="O15" s="110">
        <v>3</v>
      </c>
      <c r="P15" s="107" t="s">
        <v>45</v>
      </c>
      <c r="Q15" s="103"/>
      <c r="R15" s="103"/>
      <c r="S15" s="103"/>
      <c r="T15" s="103"/>
      <c r="U15" s="103"/>
      <c r="V15" s="103"/>
      <c r="W15" s="103"/>
      <c r="X15" s="103"/>
      <c r="Y15" s="110" t="s">
        <v>196</v>
      </c>
      <c r="Z15" s="110" t="s">
        <v>128</v>
      </c>
      <c r="AA15" s="110" t="s">
        <v>179</v>
      </c>
      <c r="AB15" s="103"/>
      <c r="AC15" s="103"/>
      <c r="AD15" s="103"/>
      <c r="AE15" s="103"/>
      <c r="AF15" s="103"/>
      <c r="AG15" s="103"/>
      <c r="AH15" s="103"/>
      <c r="AI15" s="110" t="s">
        <v>197</v>
      </c>
      <c r="AJ15" s="103"/>
    </row>
    <row r="16" spans="1:36" x14ac:dyDescent="0.3">
      <c r="A16" s="105" t="s">
        <v>123</v>
      </c>
      <c r="B16" s="106">
        <v>46000</v>
      </c>
      <c r="C16" s="107" t="s">
        <v>34</v>
      </c>
      <c r="D16" s="108" t="s">
        <v>124</v>
      </c>
      <c r="E16" s="107" t="s">
        <v>1</v>
      </c>
      <c r="F16" s="107" t="s">
        <v>125</v>
      </c>
      <c r="G16" s="109">
        <v>0.87150000000000005</v>
      </c>
      <c r="H16" s="110">
        <v>179</v>
      </c>
      <c r="I16" s="110">
        <v>156</v>
      </c>
      <c r="J16" s="110">
        <v>142</v>
      </c>
      <c r="K16" s="107" t="s">
        <v>126</v>
      </c>
      <c r="L16" s="111" t="s">
        <v>49</v>
      </c>
      <c r="M16" s="110">
        <v>0</v>
      </c>
      <c r="N16" s="110">
        <v>3</v>
      </c>
      <c r="O16" s="110">
        <v>11</v>
      </c>
      <c r="P16" s="107" t="s">
        <v>90</v>
      </c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10" t="s">
        <v>198</v>
      </c>
      <c r="AB16" s="103"/>
      <c r="AC16" s="103"/>
      <c r="AD16" s="103"/>
      <c r="AE16" s="103"/>
      <c r="AF16" s="103"/>
      <c r="AG16" s="103"/>
      <c r="AH16" s="103"/>
      <c r="AI16" s="110" t="s">
        <v>199</v>
      </c>
      <c r="AJ16" s="103"/>
    </row>
    <row r="17" spans="1:36" x14ac:dyDescent="0.3">
      <c r="A17" s="105" t="s">
        <v>131</v>
      </c>
      <c r="B17" s="106">
        <v>46001</v>
      </c>
      <c r="C17" s="107" t="s">
        <v>34</v>
      </c>
      <c r="D17" s="108" t="s">
        <v>132</v>
      </c>
      <c r="E17" s="107" t="s">
        <v>1</v>
      </c>
      <c r="F17" s="107" t="s">
        <v>125</v>
      </c>
      <c r="G17" s="109">
        <v>0.97209999999999996</v>
      </c>
      <c r="H17" s="110">
        <v>179</v>
      </c>
      <c r="I17" s="110">
        <v>174</v>
      </c>
      <c r="J17" s="110">
        <v>165</v>
      </c>
      <c r="K17" s="107" t="s">
        <v>126</v>
      </c>
      <c r="L17" s="111" t="s">
        <v>35</v>
      </c>
      <c r="M17" s="110">
        <v>0</v>
      </c>
      <c r="N17" s="110">
        <v>0</v>
      </c>
      <c r="O17" s="110">
        <v>8</v>
      </c>
      <c r="P17" s="107" t="s">
        <v>92</v>
      </c>
      <c r="Q17" s="103"/>
      <c r="R17" s="103"/>
      <c r="S17" s="103"/>
      <c r="T17" s="103"/>
      <c r="U17" s="103"/>
      <c r="V17" s="103"/>
      <c r="W17" s="103"/>
      <c r="X17" s="103"/>
      <c r="Y17" s="103"/>
      <c r="Z17" s="110" t="s">
        <v>185</v>
      </c>
      <c r="AA17" s="110" t="s">
        <v>90</v>
      </c>
      <c r="AB17" s="103"/>
      <c r="AC17" s="103"/>
      <c r="AD17" s="103"/>
      <c r="AE17" s="103"/>
      <c r="AF17" s="103"/>
      <c r="AG17" s="103"/>
      <c r="AH17" s="103"/>
      <c r="AI17" s="110" t="s">
        <v>200</v>
      </c>
      <c r="AJ17" s="103"/>
    </row>
    <row r="18" spans="1:36" ht="21" x14ac:dyDescent="0.3">
      <c r="A18" s="112" t="s">
        <v>205</v>
      </c>
      <c r="B18" s="113"/>
      <c r="C18" s="112">
        <f>SUBTOTAL(103,YNB_CAI_LF_LEGACY[Flt])</f>
        <v>16</v>
      </c>
      <c r="D18" s="112"/>
      <c r="E18" s="112">
        <f>SUBTOTAL(103,YNB_CAI_LF_LEGACY[Brd-Off])</f>
        <v>16</v>
      </c>
      <c r="F18" s="112"/>
      <c r="G18" s="114">
        <f>SUBTOTAL(101,YNB_CAI_LF_LEGACY[LF%])</f>
        <v>0.90223749999999991</v>
      </c>
      <c r="H18" s="115">
        <f>SUBTOTAL(109,YNB_CAI_LF_LEGACY[CAP])</f>
        <v>2864</v>
      </c>
      <c r="I18" s="115">
        <f>SUBTOTAL(109,YNB_CAI_LF_LEGACY[BKG(Y)])</f>
        <v>2584</v>
      </c>
      <c r="J18" s="115">
        <f>SUBTOTAL(109,YNB_CAI_LF_LEGACY[GRP(Y)])</f>
        <v>2079</v>
      </c>
      <c r="K18" s="112"/>
      <c r="L18" s="113"/>
      <c r="M18" s="115">
        <f>SUBTOTAL(109,YNB_CAI_LF_LEGACY[TO-DAY])</f>
        <v>4</v>
      </c>
      <c r="N18" s="115">
        <f>SUBTOTAL(109,YNB_CAI_LF_LEGACY[Y-DAY])</f>
        <v>15</v>
      </c>
      <c r="O18" s="115">
        <f>SUBTOTAL(109,YNB_CAI_LF_LEGACY[WEEKLY])</f>
        <v>286</v>
      </c>
      <c r="P18" s="116"/>
      <c r="Q18" s="115">
        <f>SUBTOTAL(109,YNB_CAI_LF_LEGACY[Y])</f>
        <v>0</v>
      </c>
      <c r="R18" s="115">
        <f>SUBTOTAL(109,YNB_CAI_LF_LEGACY[B])</f>
        <v>0</v>
      </c>
      <c r="S18" s="115">
        <f>SUBTOTAL(109,YNB_CAI_LF_LEGACY[M])</f>
        <v>0</v>
      </c>
      <c r="T18" s="115">
        <f>SUBTOTAL(109,YNB_CAI_LF_LEGACY[H])</f>
        <v>0</v>
      </c>
      <c r="U18" s="115">
        <f>SUBTOTAL(109,YNB_CAI_LF_LEGACY[Q])</f>
        <v>0</v>
      </c>
      <c r="V18" s="115">
        <f>SUBTOTAL(109,YNB_CAI_LF_LEGACY[K])</f>
        <v>0</v>
      </c>
      <c r="W18" s="115">
        <f>SUBTOTAL(109,YNB_CAI_LF_LEGACY[V])</f>
        <v>0</v>
      </c>
      <c r="X18" s="115">
        <f>SUBTOTAL(109,YNB_CAI_LF_LEGACY[L])</f>
        <v>0</v>
      </c>
      <c r="Y18" s="115">
        <f>SUBTOTAL(109,YNB_CAI_LF_LEGACY[G])</f>
        <v>0</v>
      </c>
      <c r="Z18" s="115">
        <f>SUBTOTAL(109,YNB_CAI_LF_LEGACY[S])</f>
        <v>0</v>
      </c>
      <c r="AA18" s="115">
        <f>SUBTOTAL(109,YNB_CAI_LF_LEGACY[W])</f>
        <v>0</v>
      </c>
      <c r="AB18" s="115">
        <f>SUBTOTAL(109,YNB_CAI_LF_LEGACY[T])</f>
        <v>0</v>
      </c>
      <c r="AC18" s="115">
        <f>SUBTOTAL(109,YNB_CAI_LF_LEGACY[X])</f>
        <v>0</v>
      </c>
      <c r="AD18" s="115">
        <f>SUBTOTAL(109,YNB_CAI_LF_LEGACY[U])</f>
        <v>0</v>
      </c>
      <c r="AE18" s="115">
        <f>SUBTOTAL(109,YNB_CAI_LF_LEGACY[O])</f>
        <v>0</v>
      </c>
      <c r="AF18" s="115">
        <f>SUBTOTAL(109,YNB_CAI_LF_LEGACY[I])</f>
        <v>0</v>
      </c>
      <c r="AG18" s="115">
        <f>SUBTOTAL(109,YNB_CAI_LF_LEGACY[E])</f>
        <v>0</v>
      </c>
      <c r="AH18" s="115">
        <f>SUBTOTAL(109,YNB_CAI_LF_LEGACY[A])</f>
        <v>0</v>
      </c>
      <c r="AI18" s="115">
        <f>SUBTOTAL(109,YNB_CAI_LF_LEGACY[P])</f>
        <v>0</v>
      </c>
      <c r="AJ18" s="115">
        <f>SUBTOTAL(103,YNB_CAI_LF_LEGACY[N])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/>
  </sheetViews>
  <sheetFormatPr defaultRowHeight="14.4" x14ac:dyDescent="0.3"/>
  <cols>
    <col min="1" max="1" width="11.8867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  <col min="9" max="9" width="192.77734375" hidden="1" customWidth="1"/>
  </cols>
  <sheetData>
    <row r="1" spans="1:8" ht="18" x14ac:dyDescent="0.3">
      <c r="A1" s="62" t="s">
        <v>201</v>
      </c>
      <c r="B1" s="63" t="s">
        <v>8</v>
      </c>
      <c r="C1" s="63" t="s">
        <v>9</v>
      </c>
      <c r="D1" s="63" t="s">
        <v>202</v>
      </c>
      <c r="E1" s="63" t="s">
        <v>10</v>
      </c>
      <c r="F1" s="63" t="s">
        <v>11</v>
      </c>
      <c r="G1" s="63" t="s">
        <v>12</v>
      </c>
      <c r="H1" s="64" t="s">
        <v>13</v>
      </c>
    </row>
    <row r="2" spans="1:8" ht="19.8" customHeight="1" x14ac:dyDescent="0.3">
      <c r="A2" s="65" t="s">
        <v>203</v>
      </c>
      <c r="B2" s="66" t="s">
        <v>26</v>
      </c>
      <c r="C2" s="67" t="s">
        <v>27</v>
      </c>
      <c r="D2" s="66" t="s">
        <v>1</v>
      </c>
      <c r="E2" s="66" t="s">
        <v>204</v>
      </c>
      <c r="F2" s="66" t="s">
        <v>28</v>
      </c>
      <c r="G2" s="68">
        <v>9</v>
      </c>
      <c r="H2" s="69">
        <v>471</v>
      </c>
    </row>
    <row r="3" spans="1:8" ht="19.8" customHeight="1" x14ac:dyDescent="0.3">
      <c r="A3" s="70" t="s">
        <v>203</v>
      </c>
      <c r="B3" s="71" t="s">
        <v>31</v>
      </c>
      <c r="C3" s="72" t="s">
        <v>32</v>
      </c>
      <c r="D3" s="71" t="s">
        <v>1</v>
      </c>
      <c r="E3" s="71" t="s">
        <v>124</v>
      </c>
      <c r="F3" s="71" t="s">
        <v>28</v>
      </c>
      <c r="G3" s="73">
        <v>9</v>
      </c>
      <c r="H3" s="74">
        <v>988</v>
      </c>
    </row>
    <row r="4" spans="1:8" ht="19.8" customHeight="1" x14ac:dyDescent="0.3">
      <c r="A4" s="75">
        <v>45987</v>
      </c>
      <c r="B4" s="66" t="s">
        <v>38</v>
      </c>
      <c r="C4" s="67" t="s">
        <v>39</v>
      </c>
      <c r="D4" s="66" t="s">
        <v>1</v>
      </c>
      <c r="E4" s="76">
        <v>1.5902777777777779</v>
      </c>
      <c r="F4" s="66" t="s">
        <v>40</v>
      </c>
      <c r="G4" s="68">
        <v>2</v>
      </c>
      <c r="H4" s="69">
        <v>745</v>
      </c>
    </row>
    <row r="5" spans="1:8" ht="19.8" customHeight="1" x14ac:dyDescent="0.3">
      <c r="A5" s="77">
        <v>45987</v>
      </c>
      <c r="B5" s="71" t="s">
        <v>31</v>
      </c>
      <c r="C5" s="72" t="s">
        <v>32</v>
      </c>
      <c r="D5" s="71" t="s">
        <v>1</v>
      </c>
      <c r="E5" s="78">
        <v>1.9861111111111109</v>
      </c>
      <c r="F5" s="71" t="s">
        <v>28</v>
      </c>
      <c r="G5" s="73">
        <v>9</v>
      </c>
      <c r="H5" s="74">
        <v>748</v>
      </c>
    </row>
    <row r="6" spans="1:8" ht="19.8" customHeight="1" x14ac:dyDescent="0.3">
      <c r="A6" s="75">
        <v>45988</v>
      </c>
      <c r="B6" s="66" t="s">
        <v>26</v>
      </c>
      <c r="C6" s="67" t="s">
        <v>27</v>
      </c>
      <c r="D6" s="66" t="s">
        <v>1</v>
      </c>
      <c r="E6" s="76">
        <v>1.177083333333333</v>
      </c>
      <c r="F6" s="66" t="s">
        <v>28</v>
      </c>
      <c r="G6" s="68">
        <v>9</v>
      </c>
      <c r="H6" s="69">
        <v>471</v>
      </c>
    </row>
    <row r="7" spans="1:8" ht="19.8" customHeight="1" x14ac:dyDescent="0.3">
      <c r="A7" s="77">
        <v>45988</v>
      </c>
      <c r="B7" s="71" t="s">
        <v>31</v>
      </c>
      <c r="C7" s="72" t="s">
        <v>32</v>
      </c>
      <c r="D7" s="71" t="s">
        <v>1</v>
      </c>
      <c r="E7" s="78">
        <v>1.5972222222222221</v>
      </c>
      <c r="F7" s="71" t="s">
        <v>28</v>
      </c>
      <c r="G7" s="73">
        <v>8</v>
      </c>
      <c r="H7" s="79" t="s">
        <v>48</v>
      </c>
    </row>
    <row r="8" spans="1:8" ht="19.8" customHeight="1" x14ac:dyDescent="0.3">
      <c r="A8" s="77">
        <v>45989</v>
      </c>
      <c r="B8" s="71" t="s">
        <v>31</v>
      </c>
      <c r="C8" s="72" t="s">
        <v>32</v>
      </c>
      <c r="D8" s="71" t="s">
        <v>1</v>
      </c>
      <c r="E8" s="78">
        <v>1.3263888888888891</v>
      </c>
      <c r="F8" s="71" t="s">
        <v>28</v>
      </c>
      <c r="G8" s="73">
        <v>3</v>
      </c>
      <c r="H8" s="74">
        <v>628</v>
      </c>
    </row>
    <row r="9" spans="1:8" ht="19.8" customHeight="1" x14ac:dyDescent="0.3">
      <c r="A9" s="77">
        <v>45990</v>
      </c>
      <c r="B9" s="71" t="s">
        <v>31</v>
      </c>
      <c r="C9" s="72" t="s">
        <v>32</v>
      </c>
      <c r="D9" s="71" t="s">
        <v>1</v>
      </c>
      <c r="E9" s="78">
        <v>1.2847222222222221</v>
      </c>
      <c r="F9" s="71" t="s">
        <v>28</v>
      </c>
      <c r="G9" s="73">
        <v>8</v>
      </c>
      <c r="H9" s="74">
        <v>868</v>
      </c>
    </row>
    <row r="10" spans="1:8" ht="19.8" customHeight="1" x14ac:dyDescent="0.3">
      <c r="A10" s="77">
        <v>45991</v>
      </c>
      <c r="B10" s="71" t="s">
        <v>31</v>
      </c>
      <c r="C10" s="72" t="s">
        <v>32</v>
      </c>
      <c r="D10" s="71" t="s">
        <v>1</v>
      </c>
      <c r="E10" s="78">
        <v>1.375</v>
      </c>
      <c r="F10" s="71"/>
      <c r="G10" s="71"/>
      <c r="H10" s="79" t="s">
        <v>61</v>
      </c>
    </row>
    <row r="11" spans="1:8" ht="19.8" customHeight="1" x14ac:dyDescent="0.3">
      <c r="A11" s="77">
        <v>45992</v>
      </c>
      <c r="B11" s="71" t="s">
        <v>31</v>
      </c>
      <c r="C11" s="72" t="s">
        <v>32</v>
      </c>
      <c r="D11" s="71" t="s">
        <v>1</v>
      </c>
      <c r="E11" s="78">
        <v>1.3263888888888891</v>
      </c>
      <c r="F11" s="71" t="s">
        <v>28</v>
      </c>
      <c r="G11" s="73">
        <v>6</v>
      </c>
      <c r="H11" s="74">
        <v>628</v>
      </c>
    </row>
    <row r="12" spans="1:8" ht="19.8" customHeight="1" x14ac:dyDescent="0.3">
      <c r="A12" s="75">
        <v>45993</v>
      </c>
      <c r="B12" s="66" t="s">
        <v>26</v>
      </c>
      <c r="C12" s="67" t="s">
        <v>27</v>
      </c>
      <c r="D12" s="66" t="s">
        <v>1</v>
      </c>
      <c r="E12" s="76">
        <v>1.177083333333333</v>
      </c>
      <c r="F12" s="66" t="s">
        <v>28</v>
      </c>
      <c r="G12" s="68">
        <v>1</v>
      </c>
      <c r="H12" s="69">
        <v>521</v>
      </c>
    </row>
    <row r="13" spans="1:8" ht="19.8" customHeight="1" x14ac:dyDescent="0.3">
      <c r="A13" s="75">
        <v>45993</v>
      </c>
      <c r="B13" s="66" t="s">
        <v>38</v>
      </c>
      <c r="C13" s="67" t="s">
        <v>39</v>
      </c>
      <c r="D13" s="66" t="s">
        <v>1</v>
      </c>
      <c r="E13" s="76">
        <v>1.4965277777777779</v>
      </c>
      <c r="F13" s="66" t="s">
        <v>40</v>
      </c>
      <c r="G13" s="68">
        <v>1</v>
      </c>
      <c r="H13" s="69">
        <v>745</v>
      </c>
    </row>
    <row r="14" spans="1:8" ht="19.8" customHeight="1" x14ac:dyDescent="0.3">
      <c r="A14" s="77">
        <v>45993</v>
      </c>
      <c r="B14" s="71" t="s">
        <v>31</v>
      </c>
      <c r="C14" s="72" t="s">
        <v>32</v>
      </c>
      <c r="D14" s="71" t="s">
        <v>1</v>
      </c>
      <c r="E14" s="78">
        <v>1.993055555555556</v>
      </c>
      <c r="F14" s="71" t="s">
        <v>28</v>
      </c>
      <c r="G14" s="73">
        <v>8</v>
      </c>
      <c r="H14" s="79" t="s">
        <v>69</v>
      </c>
    </row>
    <row r="15" spans="1:8" ht="19.8" customHeight="1" x14ac:dyDescent="0.3">
      <c r="A15" s="80">
        <v>45994</v>
      </c>
      <c r="B15" s="81" t="s">
        <v>31</v>
      </c>
      <c r="C15" s="82" t="s">
        <v>32</v>
      </c>
      <c r="D15" s="81" t="s">
        <v>1</v>
      </c>
      <c r="E15" s="83">
        <v>1.9861111111111109</v>
      </c>
      <c r="F15" s="81" t="s">
        <v>28</v>
      </c>
      <c r="G15" s="84">
        <v>3</v>
      </c>
      <c r="H15" s="85">
        <v>538</v>
      </c>
    </row>
    <row r="16" spans="1:8" ht="19.8" customHeight="1" x14ac:dyDescent="0.3">
      <c r="A16" s="86">
        <v>45994</v>
      </c>
      <c r="B16" s="87" t="s">
        <v>38</v>
      </c>
      <c r="C16" s="88" t="s">
        <v>39</v>
      </c>
      <c r="D16" s="87" t="s">
        <v>1</v>
      </c>
      <c r="E16" s="89">
        <v>1.5902777777777779</v>
      </c>
      <c r="F16" s="87" t="s">
        <v>40</v>
      </c>
      <c r="G16" s="90">
        <v>2</v>
      </c>
      <c r="H16" s="91">
        <v>745</v>
      </c>
    </row>
    <row r="17" spans="1:8" ht="19.8" customHeight="1" x14ac:dyDescent="0.3">
      <c r="A17" s="75">
        <v>45995</v>
      </c>
      <c r="B17" s="66" t="s">
        <v>26</v>
      </c>
      <c r="C17" s="67" t="s">
        <v>27</v>
      </c>
      <c r="D17" s="66" t="s">
        <v>1</v>
      </c>
      <c r="E17" s="76">
        <v>1.177083333333333</v>
      </c>
      <c r="F17" s="66" t="s">
        <v>28</v>
      </c>
      <c r="G17" s="68">
        <v>4</v>
      </c>
      <c r="H17" s="69">
        <v>521</v>
      </c>
    </row>
    <row r="18" spans="1:8" ht="19.8" customHeight="1" x14ac:dyDescent="0.3">
      <c r="A18" s="75">
        <v>45995</v>
      </c>
      <c r="B18" s="66" t="s">
        <v>38</v>
      </c>
      <c r="C18" s="67" t="s">
        <v>39</v>
      </c>
      <c r="D18" s="66" t="s">
        <v>1</v>
      </c>
      <c r="E18" s="76">
        <v>1.475694444444444</v>
      </c>
      <c r="F18" s="66" t="s">
        <v>40</v>
      </c>
      <c r="G18" s="68">
        <v>7</v>
      </c>
      <c r="H18" s="69">
        <v>550</v>
      </c>
    </row>
    <row r="19" spans="1:8" ht="19.8" customHeight="1" x14ac:dyDescent="0.3">
      <c r="A19" s="77">
        <v>45995</v>
      </c>
      <c r="B19" s="71" t="s">
        <v>31</v>
      </c>
      <c r="C19" s="72" t="s">
        <v>32</v>
      </c>
      <c r="D19" s="71" t="s">
        <v>1</v>
      </c>
      <c r="E19" s="78">
        <v>1.5972222222222221</v>
      </c>
      <c r="F19" s="71" t="s">
        <v>28</v>
      </c>
      <c r="G19" s="73">
        <v>1</v>
      </c>
      <c r="H19" s="79" t="s">
        <v>79</v>
      </c>
    </row>
    <row r="20" spans="1:8" ht="19.8" customHeight="1" x14ac:dyDescent="0.3">
      <c r="A20" s="77">
        <v>45996</v>
      </c>
      <c r="B20" s="71" t="s">
        <v>31</v>
      </c>
      <c r="C20" s="72" t="s">
        <v>32</v>
      </c>
      <c r="D20" s="71" t="s">
        <v>1</v>
      </c>
      <c r="E20" s="78">
        <v>1.3263888888888891</v>
      </c>
      <c r="F20" s="71" t="s">
        <v>28</v>
      </c>
      <c r="G20" s="73">
        <v>1</v>
      </c>
      <c r="H20" s="74">
        <v>748</v>
      </c>
    </row>
    <row r="21" spans="1:8" ht="19.8" customHeight="1" x14ac:dyDescent="0.3">
      <c r="A21" s="77">
        <v>45997</v>
      </c>
      <c r="B21" s="71" t="s">
        <v>31</v>
      </c>
      <c r="C21" s="72" t="s">
        <v>32</v>
      </c>
      <c r="D21" s="71" t="s">
        <v>1</v>
      </c>
      <c r="E21" s="78">
        <v>1.2847222222222221</v>
      </c>
      <c r="F21" s="71"/>
      <c r="G21" s="71"/>
      <c r="H21" s="79" t="s">
        <v>61</v>
      </c>
    </row>
    <row r="22" spans="1:8" ht="19.8" customHeight="1" x14ac:dyDescent="0.3">
      <c r="A22" s="77">
        <v>45998</v>
      </c>
      <c r="B22" s="71" t="s">
        <v>31</v>
      </c>
      <c r="C22" s="72" t="s">
        <v>32</v>
      </c>
      <c r="D22" s="71" t="s">
        <v>1</v>
      </c>
      <c r="E22" s="78">
        <v>1.375</v>
      </c>
      <c r="F22" s="71" t="s">
        <v>28</v>
      </c>
      <c r="G22" s="73">
        <v>9</v>
      </c>
      <c r="H22" s="74">
        <v>868</v>
      </c>
    </row>
    <row r="23" spans="1:8" ht="19.8" customHeight="1" x14ac:dyDescent="0.3">
      <c r="A23" s="77">
        <v>45999</v>
      </c>
      <c r="B23" s="71" t="s">
        <v>31</v>
      </c>
      <c r="C23" s="72" t="s">
        <v>32</v>
      </c>
      <c r="D23" s="71" t="s">
        <v>1</v>
      </c>
      <c r="E23" s="78">
        <v>1.3263888888888891</v>
      </c>
      <c r="F23" s="71" t="s">
        <v>28</v>
      </c>
      <c r="G23" s="73">
        <v>9</v>
      </c>
      <c r="H23" s="74">
        <v>748</v>
      </c>
    </row>
    <row r="24" spans="1:8" ht="19.8" customHeight="1" x14ac:dyDescent="0.3">
      <c r="A24" s="75">
        <v>46000</v>
      </c>
      <c r="B24" s="66" t="s">
        <v>26</v>
      </c>
      <c r="C24" s="67" t="s">
        <v>27</v>
      </c>
      <c r="D24" s="66" t="s">
        <v>1</v>
      </c>
      <c r="E24" s="76">
        <v>1.177083333333333</v>
      </c>
      <c r="F24" s="66" t="s">
        <v>28</v>
      </c>
      <c r="G24" s="68">
        <v>8</v>
      </c>
      <c r="H24" s="69">
        <v>571</v>
      </c>
    </row>
    <row r="25" spans="1:8" ht="19.8" customHeight="1" x14ac:dyDescent="0.3">
      <c r="A25" s="77">
        <v>46000</v>
      </c>
      <c r="B25" s="71" t="s">
        <v>31</v>
      </c>
      <c r="C25" s="72" t="s">
        <v>32</v>
      </c>
      <c r="D25" s="71" t="s">
        <v>1</v>
      </c>
      <c r="E25" s="78">
        <v>1.993055555555556</v>
      </c>
      <c r="F25" s="71" t="s">
        <v>28</v>
      </c>
      <c r="G25" s="73">
        <v>5</v>
      </c>
      <c r="H25" s="74">
        <v>628</v>
      </c>
    </row>
    <row r="26" spans="1:8" ht="19.8" customHeight="1" x14ac:dyDescent="0.3">
      <c r="A26" s="77">
        <v>46001</v>
      </c>
      <c r="B26" s="71" t="s">
        <v>31</v>
      </c>
      <c r="C26" s="72" t="s">
        <v>32</v>
      </c>
      <c r="D26" s="71" t="s">
        <v>1</v>
      </c>
      <c r="E26" s="78">
        <v>1.9861111111111109</v>
      </c>
      <c r="F26" s="71" t="s">
        <v>28</v>
      </c>
      <c r="G26" s="73">
        <v>5</v>
      </c>
      <c r="H26" s="74">
        <v>868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YNB-CAI</vt:lpstr>
      <vt:lpstr>YNB-CAI LF LEGACY</vt:lpstr>
      <vt:lpstr>YNB-CAI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2025-11-21T16:51:14Z</dcterms:created>
  <dcterms:modified xsi:type="dcterms:W3CDTF">2025-11-21T16:51:21Z</dcterms:modified>
</cp:coreProperties>
</file>