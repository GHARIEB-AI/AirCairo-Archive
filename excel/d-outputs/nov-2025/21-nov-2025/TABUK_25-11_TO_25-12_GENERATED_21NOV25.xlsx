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BF5919FE-5D94-4F3D-A3B2-ED182B0794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U-CAI" sheetId="1" r:id="rId1"/>
    <sheet name="TUU-CAI LF LEGACY" sheetId="2" r:id="rId2"/>
    <sheet name="TUU-CAI - FOCUS MODE" sheetId="3" r:id="rId3"/>
    <sheet name="TUU-ATZ" sheetId="4" r:id="rId4"/>
    <sheet name="TUU-ATZ LF LEGACY" sheetId="5" r:id="rId5"/>
    <sheet name="TUU-ATZ - FOCUS MOD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5" l="1"/>
  <c r="E4" i="5"/>
  <c r="G4" i="5"/>
  <c r="H4" i="5"/>
  <c r="I4" i="5"/>
  <c r="J4" i="5"/>
  <c r="M4" i="5"/>
  <c r="N4" i="5"/>
  <c r="O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C9" i="2"/>
  <c r="E9" i="2"/>
  <c r="G9" i="2"/>
  <c r="H9" i="2"/>
  <c r="I9" i="2"/>
  <c r="J9" i="2"/>
  <c r="M9" i="2"/>
  <c r="N9" i="2"/>
  <c r="O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5" authorId="0" shapeId="0" xr:uid="{548A282E-F549-48AF-A1F1-3F7062DDD33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6]_x000D_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G1 &amp; O11 &amp; I18</t>
        </r>
      </text>
    </comment>
    <comment ref="F9" authorId="0" shapeId="0" xr:uid="{1EB74057-34B4-440F-8708-103F2AF4B8C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X1 &amp; U3 &amp; O30 &amp; I18</t>
        </r>
      </text>
    </comment>
    <comment ref="F17" authorId="0" shapeId="0" xr:uid="{F4B1AB69-E8C2-4589-ABEE-16B3755C5B5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O12 &amp; I15</t>
        </r>
      </text>
    </comment>
    <comment ref="F25" authorId="0" shapeId="0" xr:uid="{11C9BA37-7B6F-486C-8388-7C23BB3DDF5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41.2%]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97]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O20 &amp; I20</t>
        </r>
      </text>
    </comment>
    <comment ref="F30" authorId="0" shapeId="0" xr:uid="{31489E48-0943-497C-BC6B-40979D05642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34.5%]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3]_x000D_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O22 &amp; I36</t>
        </r>
      </text>
    </comment>
    <comment ref="F38" authorId="0" shapeId="0" xr:uid="{D39849EC-328B-4448-9ED9-3F812F24D2C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97]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13-SEP]_x000D_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O1</t>
        </r>
      </text>
    </comment>
    <comment ref="F42" authorId="0" shapeId="0" xr:uid="{968B28B9-6DC7-447E-ADD1-B26328A4262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23.7%]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97]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O5 &amp; I18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56DB7CC6-0E4C-4749-90C8-739D3CEA57D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28.0%]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20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U3 &amp; O34 &amp; I10</t>
        </r>
      </text>
    </comment>
    <comment ref="F5" authorId="0" shapeId="0" xr:uid="{D5E2A48F-D064-4E6D-9C93-055B2CFA5E7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SM328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U3]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X4 &amp; U14 &amp; O3</t>
        </r>
      </text>
    </comment>
  </commentList>
</comments>
</file>

<file path=xl/sharedStrings.xml><?xml version="1.0" encoding="utf-8"?>
<sst xmlns="http://schemas.openxmlformats.org/spreadsheetml/2006/main" count="1042" uniqueCount="153">
  <si>
    <t>COMPREHENSIVE REPORT</t>
  </si>
  <si>
    <t>TUU-CAI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</si>
  <si>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</si>
  <si>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</si>
  <si>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</si>
  <si>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</si>
  <si>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</si>
  <si>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</si>
  <si>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</si>
  <si>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</si>
  <si>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</si>
  <si>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</si>
  <si>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</si>
  <si>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</si>
  <si>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</si>
  <si>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</si>
  <si>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</si>
  <si>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</si>
  <si>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</si>
  <si>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</si>
  <si>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</si>
  <si>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</si>
  <si>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</si>
  <si>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</si>
  <si>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</si>
  <si>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</si>
  <si>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Nesma Airlines</t>
  </si>
  <si>
    <t>NE-121</t>
  </si>
  <si>
    <t>Cabin: 7 KG | Check-in: 40 KG</t>
  </si>
  <si>
    <r>
      <rPr>
        <b/>
        <i/>
        <sz val="13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</si>
  <si>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320 SAR</t>
  </si>
  <si>
    <t>EgyptAir</t>
  </si>
  <si>
    <t>MS-812</t>
  </si>
  <si>
    <t>Cabin: 7 KG</t>
  </si>
  <si>
    <r>
      <rPr>
        <b/>
        <i/>
        <sz val="13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</si>
  <si>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344 SAR</t>
  </si>
  <si>
    <t>Nile Air</t>
  </si>
  <si>
    <t>NP-118</t>
  </si>
  <si>
    <t>355 SAR</t>
  </si>
  <si>
    <t>Air Cairo</t>
  </si>
  <si>
    <t>SM-326</t>
  </si>
  <si>
    <t>385 SAR</t>
  </si>
  <si>
    <t>SM326</t>
  </si>
  <si>
    <t>2025-11-20 00:00:00</t>
  </si>
  <si>
    <t>O9</t>
  </si>
  <si>
    <t>G1 &amp; O11 &amp; I18</t>
  </si>
  <si>
    <r>
      <rPr>
        <b/>
        <i/>
        <sz val="13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</si>
  <si>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NP-108</t>
  </si>
  <si>
    <t>400 SAR</t>
  </si>
  <si>
    <t>2025-11-21 00:00:00</t>
  </si>
  <si>
    <t>X1 &amp; U3 &amp; O30 &amp; I18</t>
  </si>
  <si>
    <t>Air Arabia Egypt</t>
  </si>
  <si>
    <t>E5-590</t>
  </si>
  <si>
    <t>Cabin: 10 KG / Check-in: 30 KG</t>
  </si>
  <si>
    <r>
      <rPr>
        <b/>
        <i/>
        <sz val="13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</si>
  <si>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325 SAR</t>
  </si>
  <si>
    <t>Cabin: 10 KG / Check-in: 2 x 40 KG</t>
  </si>
  <si>
    <r>
      <rPr>
        <i/>
        <sz val="13"/>
        <rFont val="Calibri"/>
      </rPr>
      <t>9</t>
    </r>
    <r>
      <rPr>
        <i/>
        <sz val="10"/>
        <rFont val="Calibri"/>
      </rPr>
      <t xml:space="preserve"> FOR SAME CLASS</t>
    </r>
  </si>
  <si>
    <t>448 SAR</t>
  </si>
  <si>
    <t>O12 &amp; I15</t>
  </si>
  <si>
    <t>NP-308</t>
  </si>
  <si>
    <t>319 SAR</t>
  </si>
  <si>
    <t>443 SAR</t>
  </si>
  <si>
    <t>2025-11-19 00:00:00</t>
  </si>
  <si>
    <t>O20 &amp; I20</t>
  </si>
  <si>
    <r>
      <rPr>
        <b/>
        <i/>
        <sz val="13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</si>
  <si>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O22 &amp; I36</t>
  </si>
  <si>
    <r>
      <rPr>
        <b/>
        <i/>
        <sz val="13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</si>
  <si>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2025-09-13 00:00:00</t>
  </si>
  <si>
    <t>O1</t>
  </si>
  <si>
    <t>I7</t>
  </si>
  <si>
    <t>O5 &amp; I18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</si>
  <si>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</si>
  <si>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</si>
  <si>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</si>
  <si>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</si>
  <si>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</si>
  <si>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</si>
  <si>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</si>
  <si>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</si>
  <si>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</si>
  <si>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</si>
  <si>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</si>
  <si>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</si>
  <si>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</si>
  <si>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</si>
  <si>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</si>
  <si>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</si>
  <si>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</si>
  <si>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</si>
  <si>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</si>
  <si>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</si>
  <si>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</si>
  <si>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</si>
  <si>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</si>
  <si>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</si>
  <si>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</si>
  <si>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</si>
  <si>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</si>
  <si>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</si>
  <si>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</si>
  <si>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WEDNESDAY</t>
  </si>
  <si>
    <t>20:45</t>
  </si>
  <si>
    <t>320</t>
  </si>
  <si>
    <t>UPCOMING</t>
  </si>
  <si>
    <t>G1</t>
  </si>
  <si>
    <t>O11</t>
  </si>
  <si>
    <t>I18</t>
  </si>
  <si>
    <t>THURSDAY</t>
  </si>
  <si>
    <t>X1</t>
  </si>
  <si>
    <t>U3</t>
  </si>
  <si>
    <t>O30</t>
  </si>
  <si>
    <t>SATURDAY</t>
  </si>
  <si>
    <t>23:45</t>
  </si>
  <si>
    <t>O12</t>
  </si>
  <si>
    <t>I15</t>
  </si>
  <si>
    <t>E90</t>
  </si>
  <si>
    <t>O20</t>
  </si>
  <si>
    <t>I20</t>
  </si>
  <si>
    <t>O22</t>
  </si>
  <si>
    <t>I36</t>
  </si>
  <si>
    <t>O5</t>
  </si>
  <si>
    <t>DATE</t>
  </si>
  <si>
    <t>ROUTE</t>
  </si>
  <si>
    <t>2025-11-25</t>
  </si>
  <si>
    <t>22:20</t>
  </si>
  <si>
    <t>03:05</t>
  </si>
  <si>
    <t>2025-11-26</t>
  </si>
  <si>
    <t>21:45</t>
  </si>
  <si>
    <t>TUU-ATZ</t>
  </si>
  <si>
    <t>SM328</t>
  </si>
  <si>
    <t>30KG + 7KG CABIN</t>
  </si>
  <si>
    <t>LOW DEMAND</t>
  </si>
  <si>
    <t>U3 &amp; O34 &amp; I10</t>
  </si>
  <si>
    <t>Indirect competition route TUU – CAI - diversion ratio &amp; passenger leakage</t>
  </si>
  <si>
    <t>SM-70</t>
  </si>
  <si>
    <t>22:30</t>
  </si>
  <si>
    <t>Cabin: 7 KG | Check-in: 1 PIECE</t>
  </si>
  <si>
    <t>2 FOR SAME CLASS</t>
  </si>
  <si>
    <t>4,277 EGP</t>
  </si>
  <si>
    <t>X4 &amp; U14 &amp; O3</t>
  </si>
  <si>
    <t>+9 FOR SAME CLASS</t>
  </si>
  <si>
    <t>FRIDAY</t>
  </si>
  <si>
    <t>12:25</t>
  </si>
  <si>
    <t>O34</t>
  </si>
  <si>
    <t>I10</t>
  </si>
  <si>
    <t>X4</t>
  </si>
  <si>
    <t>U14</t>
  </si>
  <si>
    <t>O3</t>
  </si>
  <si>
    <t>2025-11-28</t>
  </si>
  <si>
    <t>SM-328</t>
  </si>
  <si>
    <t>TUU-CAI AS ALTERNATIVE ROUTE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</si>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</sst>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6" formatCode="dddd\,\ mmmm\ dd\,\ yyyy"/>
    <numFmt numFmtId="167" formatCode="0.0%"/>
    <numFmt numFmtId="168" formatCode="0&quot; SEAT&quot;"/>
    <numFmt numFmtId="169" formatCode="[$-409]dddd"/>
    <numFmt numFmtId="170" formatCode="h:mm;@"/>
    <numFmt numFmtId="171" formatCode="#,##0\ &quot;SAR&quot;"/>
    <numFmt numFmtId="172" formatCode="dd\-mmm\-yy"/>
    <numFmt numFmtId="173" formatCode="hh:mm"/>
  </numFmts>
  <fonts count="27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i/>
      <sz val="13"/>
      <name val="Calibri"/>
    </font>
    <font>
      <b/>
      <i/>
      <sz val="18"/>
      <color rgb="FFFFFFFF"/>
      <name val="Calibri"/>
    </font>
    <font>
      <b/>
      <i/>
      <sz val="16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color rgb="FFBC0000"/>
      <name val="Calibri"/>
    </font>
    <font>
      <b/>
      <i/>
      <sz val="13"/>
      <name val="Calibri"/>
    </font>
    <font>
      <b/>
      <i/>
      <sz val="11"/>
      <color rgb="FF9C0006"/>
      <name val="Calibri"/>
    </font>
    <font>
      <i/>
      <sz val="14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i/>
      <sz val="11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i/>
      <sz val="13"/>
      <color rgb="FFBC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CCCCC"/>
        <bgColor rgb="FFCCCCCC"/>
      </patternFill>
    </fill>
    <fill>
      <patternFill patternType="solid">
        <fgColor rgb="FFB5E7D3"/>
      </patternFill>
    </fill>
    <fill>
      <patternFill patternType="solid">
        <fgColor rgb="FFFFE4B5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C7FFFF"/>
      </patternFill>
    </fill>
    <fill>
      <patternFill patternType="solid">
        <fgColor rgb="FF365492"/>
        <bgColor indexed="64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A0A0A0"/>
      </left>
      <right/>
      <top style="thick">
        <color rgb="FFA0A0A0"/>
      </top>
      <bottom style="thick">
        <color rgb="FFA0A0A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166" fontId="6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0" fontId="10" fillId="9" borderId="11" xfId="0" applyFont="1" applyFill="1" applyBorder="1" applyAlignment="1">
      <alignment horizontal="center" vertical="center"/>
    </xf>
    <xf numFmtId="167" fontId="11" fillId="9" borderId="12" xfId="0" applyNumberFormat="1" applyFont="1" applyFill="1" applyBorder="1" applyAlignment="1">
      <alignment horizontal="center" vertical="center"/>
    </xf>
    <xf numFmtId="168" fontId="10" fillId="9" borderId="12" xfId="0" applyNumberFormat="1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horizontal="center" vertical="center"/>
    </xf>
    <xf numFmtId="167" fontId="11" fillId="10" borderId="12" xfId="0" applyNumberFormat="1" applyFont="1" applyFill="1" applyBorder="1" applyAlignment="1">
      <alignment horizontal="center" vertical="center"/>
    </xf>
    <xf numFmtId="168" fontId="10" fillId="10" borderId="12" xfId="0" applyNumberFormat="1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0" fontId="10" fillId="10" borderId="13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9" fillId="11" borderId="7" xfId="0" applyFont="1" applyFill="1" applyBorder="1" applyAlignment="1">
      <alignment horizontal="center" vertical="center"/>
    </xf>
    <xf numFmtId="0" fontId="10" fillId="11" borderId="11" xfId="0" applyFont="1" applyFill="1" applyBorder="1" applyAlignment="1">
      <alignment horizontal="center" vertical="center"/>
    </xf>
    <xf numFmtId="167" fontId="11" fillId="11" borderId="12" xfId="0" applyNumberFormat="1" applyFont="1" applyFill="1" applyBorder="1" applyAlignment="1">
      <alignment horizontal="center" vertical="center"/>
    </xf>
    <xf numFmtId="168" fontId="10" fillId="11" borderId="12" xfId="0" applyNumberFormat="1" applyFont="1" applyFill="1" applyBorder="1" applyAlignment="1">
      <alignment horizontal="center" vertical="center"/>
    </xf>
    <xf numFmtId="0" fontId="10" fillId="11" borderId="12" xfId="0" applyFont="1" applyFill="1" applyBorder="1" applyAlignment="1">
      <alignment horizontal="center" vertical="center"/>
    </xf>
    <xf numFmtId="0" fontId="10" fillId="11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12" borderId="7" xfId="0" applyFont="1" applyFill="1" applyBorder="1" applyAlignment="1">
      <alignment horizontal="center" vertical="center"/>
    </xf>
    <xf numFmtId="0" fontId="10" fillId="12" borderId="11" xfId="0" applyFont="1" applyFill="1" applyBorder="1" applyAlignment="1">
      <alignment horizontal="center" vertical="center"/>
    </xf>
    <xf numFmtId="167" fontId="11" fillId="12" borderId="12" xfId="0" applyNumberFormat="1" applyFont="1" applyFill="1" applyBorder="1" applyAlignment="1">
      <alignment horizontal="center" vertical="center"/>
    </xf>
    <xf numFmtId="168" fontId="10" fillId="12" borderId="12" xfId="0" applyNumberFormat="1" applyFont="1" applyFill="1" applyBorder="1" applyAlignment="1">
      <alignment horizontal="center" vertical="center"/>
    </xf>
    <xf numFmtId="0" fontId="10" fillId="12" borderId="12" xfId="0" applyFont="1" applyFill="1" applyBorder="1" applyAlignment="1">
      <alignment horizontal="center" vertical="center"/>
    </xf>
    <xf numFmtId="0" fontId="10" fillId="12" borderId="13" xfId="0" applyFont="1" applyFill="1" applyBorder="1" applyAlignment="1">
      <alignment horizontal="center" vertical="center"/>
    </xf>
    <xf numFmtId="0" fontId="9" fillId="13" borderId="7" xfId="0" applyFont="1" applyFill="1" applyBorder="1" applyAlignment="1">
      <alignment horizontal="center" vertical="center"/>
    </xf>
    <xf numFmtId="0" fontId="10" fillId="13" borderId="11" xfId="0" applyFont="1" applyFill="1" applyBorder="1" applyAlignment="1">
      <alignment horizontal="center" vertical="center"/>
    </xf>
    <xf numFmtId="167" fontId="11" fillId="13" borderId="12" xfId="0" applyNumberFormat="1" applyFont="1" applyFill="1" applyBorder="1" applyAlignment="1">
      <alignment horizontal="center" vertical="center"/>
    </xf>
    <xf numFmtId="168" fontId="10" fillId="13" borderId="12" xfId="0" applyNumberFormat="1" applyFont="1" applyFill="1" applyBorder="1" applyAlignment="1">
      <alignment horizontal="center" vertical="center"/>
    </xf>
    <xf numFmtId="0" fontId="10" fillId="13" borderId="12" xfId="0" applyFont="1" applyFill="1" applyBorder="1" applyAlignment="1">
      <alignment horizontal="center" vertical="center"/>
    </xf>
    <xf numFmtId="0" fontId="10" fillId="13" borderId="13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0" fillId="11" borderId="15" xfId="0" applyFont="1" applyFill="1" applyBorder="1" applyAlignment="1">
      <alignment horizontal="center" vertical="center"/>
    </xf>
    <xf numFmtId="167" fontId="11" fillId="11" borderId="16" xfId="0" applyNumberFormat="1" applyFont="1" applyFill="1" applyBorder="1" applyAlignment="1">
      <alignment horizontal="center" vertical="center"/>
    </xf>
    <xf numFmtId="168" fontId="10" fillId="11" borderId="16" xfId="0" applyNumberFormat="1" applyFont="1" applyFill="1" applyBorder="1" applyAlignment="1">
      <alignment horizontal="center" vertical="center"/>
    </xf>
    <xf numFmtId="0" fontId="10" fillId="11" borderId="16" xfId="0" applyFont="1" applyFill="1" applyBorder="1" applyAlignment="1">
      <alignment horizontal="center" vertical="center"/>
    </xf>
    <xf numFmtId="0" fontId="10" fillId="11" borderId="1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14" borderId="22" xfId="0" applyFont="1" applyFill="1" applyBorder="1" applyAlignment="1">
      <alignment horizontal="center" vertical="center"/>
    </xf>
    <xf numFmtId="0" fontId="13" fillId="14" borderId="23" xfId="0" applyFont="1" applyFill="1" applyBorder="1" applyAlignment="1">
      <alignment horizontal="center" vertical="center"/>
    </xf>
    <xf numFmtId="0" fontId="13" fillId="14" borderId="24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49" fontId="14" fillId="0" borderId="26" xfId="0" applyNumberFormat="1" applyFont="1" applyBorder="1" applyAlignment="1">
      <alignment horizontal="center" vertical="center"/>
    </xf>
    <xf numFmtId="1" fontId="14" fillId="0" borderId="26" xfId="0" applyNumberFormat="1" applyFont="1" applyBorder="1" applyAlignment="1">
      <alignment horizontal="center" vertical="center"/>
    </xf>
    <xf numFmtId="171" fontId="14" fillId="0" borderId="27" xfId="0" applyNumberFormat="1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/>
    </xf>
    <xf numFmtId="1" fontId="14" fillId="0" borderId="29" xfId="0" applyNumberFormat="1" applyFont="1" applyBorder="1" applyAlignment="1">
      <alignment horizontal="center" vertical="center"/>
    </xf>
    <xf numFmtId="171" fontId="14" fillId="0" borderId="30" xfId="0" applyNumberFormat="1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49" fontId="15" fillId="0" borderId="29" xfId="0" applyNumberFormat="1" applyFont="1" applyBorder="1" applyAlignment="1">
      <alignment horizontal="center" vertical="center"/>
    </xf>
    <xf numFmtId="1" fontId="15" fillId="0" borderId="29" xfId="0" applyNumberFormat="1" applyFont="1" applyBorder="1" applyAlignment="1">
      <alignment horizontal="center" vertical="center"/>
    </xf>
    <xf numFmtId="171" fontId="15" fillId="0" borderId="30" xfId="0" applyNumberFormat="1" applyFont="1" applyBorder="1" applyAlignment="1">
      <alignment horizontal="center" vertical="center"/>
    </xf>
    <xf numFmtId="172" fontId="14" fillId="0" borderId="25" xfId="0" applyNumberFormat="1" applyFont="1" applyBorder="1" applyAlignment="1">
      <alignment horizontal="center" vertical="center"/>
    </xf>
    <xf numFmtId="173" fontId="14" fillId="0" borderId="26" xfId="0" applyNumberFormat="1" applyFont="1" applyBorder="1" applyAlignment="1">
      <alignment horizontal="center" vertical="center"/>
    </xf>
    <xf numFmtId="172" fontId="15" fillId="0" borderId="28" xfId="0" applyNumberFormat="1" applyFont="1" applyBorder="1" applyAlignment="1">
      <alignment horizontal="center" vertical="center"/>
    </xf>
    <xf numFmtId="173" fontId="15" fillId="0" borderId="29" xfId="0" applyNumberFormat="1" applyFont="1" applyBorder="1" applyAlignment="1">
      <alignment horizontal="center" vertical="center"/>
    </xf>
    <xf numFmtId="172" fontId="14" fillId="0" borderId="28" xfId="0" applyNumberFormat="1" applyFont="1" applyBorder="1" applyAlignment="1">
      <alignment horizontal="center" vertical="center"/>
    </xf>
    <xf numFmtId="173" fontId="14" fillId="0" borderId="29" xfId="0" applyNumberFormat="1" applyFont="1" applyBorder="1" applyAlignment="1">
      <alignment horizontal="center" vertical="center"/>
    </xf>
    <xf numFmtId="172" fontId="15" fillId="0" borderId="25" xfId="0" applyNumberFormat="1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173" fontId="15" fillId="0" borderId="26" xfId="0" applyNumberFormat="1" applyFont="1" applyBorder="1" applyAlignment="1">
      <alignment horizontal="center" vertical="center"/>
    </xf>
    <xf numFmtId="1" fontId="15" fillId="0" borderId="26" xfId="0" applyNumberFormat="1" applyFont="1" applyBorder="1" applyAlignment="1">
      <alignment horizontal="center" vertical="center"/>
    </xf>
    <xf numFmtId="171" fontId="15" fillId="0" borderId="27" xfId="0" applyNumberFormat="1" applyFont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10" fillId="15" borderId="11" xfId="0" applyFont="1" applyFill="1" applyBorder="1" applyAlignment="1">
      <alignment horizontal="center" vertical="center"/>
    </xf>
    <xf numFmtId="167" fontId="11" fillId="15" borderId="12" xfId="0" applyNumberFormat="1" applyFont="1" applyFill="1" applyBorder="1" applyAlignment="1">
      <alignment horizontal="center" vertical="center"/>
    </xf>
    <xf numFmtId="168" fontId="10" fillId="15" borderId="12" xfId="0" applyNumberFormat="1" applyFont="1" applyFill="1" applyBorder="1" applyAlignment="1">
      <alignment horizontal="center" vertical="center"/>
    </xf>
    <xf numFmtId="0" fontId="10" fillId="15" borderId="12" xfId="0" applyFont="1" applyFill="1" applyBorder="1" applyAlignment="1">
      <alignment horizontal="center" vertical="center"/>
    </xf>
    <xf numFmtId="0" fontId="10" fillId="15" borderId="13" xfId="0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17" fillId="0" borderId="26" xfId="0" applyFont="1" applyBorder="1" applyAlignment="1">
      <alignment horizontal="center" vertical="center"/>
    </xf>
    <xf numFmtId="0" fontId="0" fillId="0" borderId="27" xfId="0" applyBorder="1"/>
    <xf numFmtId="0" fontId="14" fillId="0" borderId="30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165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165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0" fillId="0" borderId="31" xfId="0" applyBorder="1"/>
    <xf numFmtId="0" fontId="22" fillId="0" borderId="0" xfId="0" applyFont="1" applyAlignment="1">
      <alignment horizontal="center" vertical="center"/>
    </xf>
    <xf numFmtId="0" fontId="22" fillId="0" borderId="0" xfId="0" applyFont="1"/>
    <xf numFmtId="169" fontId="22" fillId="0" borderId="0" xfId="0" applyNumberFormat="1" applyFont="1" applyAlignment="1">
      <alignment horizontal="center" vertical="center"/>
    </xf>
    <xf numFmtId="15" fontId="22" fillId="0" borderId="0" xfId="0" applyNumberFormat="1" applyFont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170" fontId="22" fillId="0" borderId="0" xfId="0" applyNumberFormat="1" applyFont="1" applyAlignment="1">
      <alignment horizontal="center" vertical="center"/>
    </xf>
    <xf numFmtId="167" fontId="22" fillId="0" borderId="0" xfId="0" applyNumberFormat="1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6" fontId="22" fillId="0" borderId="0" xfId="0" applyNumberFormat="1" applyFont="1" applyAlignment="1">
      <alignment horizontal="center" vertical="center"/>
    </xf>
    <xf numFmtId="0" fontId="23" fillId="16" borderId="0" xfId="0" applyFont="1" applyFill="1" applyAlignment="1">
      <alignment horizontal="center" vertical="center"/>
    </xf>
    <xf numFmtId="15" fontId="23" fillId="16" borderId="0" xfId="0" applyNumberFormat="1" applyFont="1" applyFill="1" applyAlignment="1">
      <alignment horizontal="center" vertical="center"/>
    </xf>
    <xf numFmtId="167" fontId="23" fillId="16" borderId="0" xfId="0" applyNumberFormat="1" applyFont="1" applyFill="1" applyAlignment="1">
      <alignment horizontal="center" vertical="center"/>
    </xf>
    <xf numFmtId="1" fontId="23" fillId="16" borderId="0" xfId="0" applyNumberFormat="1" applyFont="1" applyFill="1" applyAlignment="1">
      <alignment horizontal="center" vertical="center"/>
    </xf>
    <xf numFmtId="0" fontId="23" fillId="16" borderId="0" xfId="0" applyNumberFormat="1" applyFont="1" applyFill="1" applyAlignment="1">
      <alignment horizontal="center" vertical="center"/>
    </xf>
    <xf numFmtId="0" fontId="0" fillId="8" borderId="34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16" fillId="8" borderId="34" xfId="0" applyFont="1" applyFill="1" applyBorder="1" applyAlignment="1">
      <alignment horizontal="center" vertical="center"/>
    </xf>
    <xf numFmtId="0" fontId="16" fillId="8" borderId="18" xfId="0" applyFont="1" applyFill="1" applyBorder="1" applyAlignment="1">
      <alignment horizontal="center" vertical="center"/>
    </xf>
    <xf numFmtId="0" fontId="16" fillId="8" borderId="19" xfId="0" applyFont="1" applyFill="1" applyBorder="1" applyAlignment="1">
      <alignment horizontal="center" vertical="center"/>
    </xf>
  </cellXfs>
  <cellStyles count="1">
    <cellStyle name="Normal" xfId="0" builtinId="0"/>
  </cellStyles>
  <dxfs count="15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UU_CAI_LF_LEGACY" displayName="TUU_CAI_LF_LEGACY" ref="A1:AJ9" totalsRowCount="1" headerRowDxfId="149" dataDxfId="112" totalsRowDxfId="75">
  <tableColumns count="36">
    <tableColumn id="1" xr3:uid="{00000000-0010-0000-0000-000001000000}" name="Day" totalsRowLabel="TOTAL" dataDxfId="148" totalsRowDxfId="111"/>
    <tableColumn id="2" xr3:uid="{00000000-0010-0000-0000-000002000000}" name="Flt Dt" dataDxfId="147" totalsRowDxfId="110"/>
    <tableColumn id="3" xr3:uid="{00000000-0010-0000-0000-000003000000}" name="Flt" totalsRowFunction="count" dataDxfId="146" totalsRowDxfId="109"/>
    <tableColumn id="4" xr3:uid="{00000000-0010-0000-0000-000004000000}" name="DEP" dataDxfId="145" totalsRowDxfId="108"/>
    <tableColumn id="5" xr3:uid="{00000000-0010-0000-0000-000005000000}" name="Brd-Off" totalsRowFunction="count" dataDxfId="144" totalsRowDxfId="107"/>
    <tableColumn id="6" xr3:uid="{00000000-0010-0000-0000-000006000000}" name="Eqp" dataDxfId="143" totalsRowDxfId="106"/>
    <tableColumn id="7" xr3:uid="{00000000-0010-0000-0000-000007000000}" name="LF%" totalsRowFunction="average" dataDxfId="142" totalsRowDxfId="105"/>
    <tableColumn id="8" xr3:uid="{00000000-0010-0000-0000-000008000000}" name="CAP" totalsRowFunction="sum" dataDxfId="141" totalsRowDxfId="104"/>
    <tableColumn id="9" xr3:uid="{00000000-0010-0000-0000-000009000000}" name="BKG(Y)" totalsRowFunction="sum" dataDxfId="140" totalsRowDxfId="103"/>
    <tableColumn id="10" xr3:uid="{00000000-0010-0000-0000-00000A000000}" name="GRP(Y)" totalsRowFunction="sum" dataDxfId="139" totalsRowDxfId="102"/>
    <tableColumn id="11" xr3:uid="{00000000-0010-0000-0000-00000B000000}" name="FLT ST" dataDxfId="138" totalsRowDxfId="101"/>
    <tableColumn id="12" xr3:uid="{00000000-0010-0000-0000-00000C000000}" name="LST-SOLD" dataDxfId="137" totalsRowDxfId="100"/>
    <tableColumn id="13" xr3:uid="{00000000-0010-0000-0000-00000D000000}" name="TO-DAY" totalsRowFunction="sum" dataDxfId="136" totalsRowDxfId="99"/>
    <tableColumn id="14" xr3:uid="{00000000-0010-0000-0000-00000E000000}" name="Y-DAY" totalsRowFunction="sum" dataDxfId="135" totalsRowDxfId="98"/>
    <tableColumn id="15" xr3:uid="{00000000-0010-0000-0000-00000F000000}" name="WEEKLY" totalsRowFunction="sum" dataDxfId="134" totalsRowDxfId="97"/>
    <tableColumn id="16" xr3:uid="{00000000-0010-0000-0000-000010000000}" name="LOWEST AVAIL" dataDxfId="133" totalsRowDxfId="96"/>
    <tableColumn id="17" xr3:uid="{00000000-0010-0000-0000-000011000000}" name="Y" totalsRowFunction="sum" dataDxfId="132" totalsRowDxfId="95"/>
    <tableColumn id="18" xr3:uid="{00000000-0010-0000-0000-000012000000}" name="B" totalsRowFunction="sum" dataDxfId="131" totalsRowDxfId="94"/>
    <tableColumn id="19" xr3:uid="{00000000-0010-0000-0000-000013000000}" name="M" totalsRowFunction="sum" dataDxfId="130" totalsRowDxfId="93"/>
    <tableColumn id="20" xr3:uid="{00000000-0010-0000-0000-000014000000}" name="H" totalsRowFunction="sum" dataDxfId="129" totalsRowDxfId="92"/>
    <tableColumn id="21" xr3:uid="{00000000-0010-0000-0000-000015000000}" name="Q" totalsRowFunction="sum" dataDxfId="128" totalsRowDxfId="91"/>
    <tableColumn id="22" xr3:uid="{00000000-0010-0000-0000-000016000000}" name="K" totalsRowFunction="sum" dataDxfId="127" totalsRowDxfId="90"/>
    <tableColumn id="23" xr3:uid="{00000000-0010-0000-0000-000017000000}" name="V" totalsRowFunction="sum" dataDxfId="126" totalsRowDxfId="89"/>
    <tableColumn id="24" xr3:uid="{00000000-0010-0000-0000-000018000000}" name="L" totalsRowFunction="sum" dataDxfId="125" totalsRowDxfId="88"/>
    <tableColumn id="25" xr3:uid="{00000000-0010-0000-0000-000019000000}" name="G" totalsRowFunction="sum" dataDxfId="124" totalsRowDxfId="87"/>
    <tableColumn id="26" xr3:uid="{00000000-0010-0000-0000-00001A000000}" name="S" totalsRowFunction="sum" dataDxfId="123" totalsRowDxfId="86"/>
    <tableColumn id="27" xr3:uid="{00000000-0010-0000-0000-00001B000000}" name="W" totalsRowFunction="sum" dataDxfId="122" totalsRowDxfId="85"/>
    <tableColumn id="28" xr3:uid="{00000000-0010-0000-0000-00001C000000}" name="T" totalsRowFunction="sum" dataDxfId="121" totalsRowDxfId="84"/>
    <tableColumn id="29" xr3:uid="{00000000-0010-0000-0000-00001D000000}" name="X" totalsRowFunction="sum" dataDxfId="120" totalsRowDxfId="83"/>
    <tableColumn id="30" xr3:uid="{00000000-0010-0000-0000-00001E000000}" name="U" totalsRowFunction="sum" dataDxfId="119" totalsRowDxfId="82"/>
    <tableColumn id="31" xr3:uid="{00000000-0010-0000-0000-00001F000000}" name="O" totalsRowFunction="sum" dataDxfId="118" totalsRowDxfId="81"/>
    <tableColumn id="32" xr3:uid="{00000000-0010-0000-0000-000020000000}" name="I" totalsRowFunction="sum" dataDxfId="117" totalsRowDxfId="80"/>
    <tableColumn id="33" xr3:uid="{00000000-0010-0000-0000-000021000000}" name="E" totalsRowFunction="sum" dataDxfId="116" totalsRowDxfId="79"/>
    <tableColumn id="34" xr3:uid="{00000000-0010-0000-0000-000022000000}" name="A" totalsRowFunction="sum" dataDxfId="115" totalsRowDxfId="78"/>
    <tableColumn id="35" xr3:uid="{00000000-0010-0000-0000-000023000000}" name="P" totalsRowFunction="sum" dataDxfId="114" totalsRowDxfId="77"/>
    <tableColumn id="36" xr3:uid="{00000000-0010-0000-0000-000024000000}" name="N" totalsRowFunction="count" dataDxfId="113" totalsRow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TUU_CAI" displayName="FocusMode_TUU_CAI" ref="A1:H43" totalsRowShown="0">
  <autoFilter ref="A1:H4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UU_ATZ_LF_LEGACY" displayName="TUU_ATZ_LF_LEGACY" ref="A1:AJ4" totalsRowCount="1" headerRowDxfId="74" dataDxfId="37" totalsRowDxfId="0">
  <tableColumns count="36">
    <tableColumn id="1" xr3:uid="{00000000-0010-0000-0200-000001000000}" name="Day" totalsRowLabel="TOTAL" dataDxfId="73" totalsRowDxfId="36"/>
    <tableColumn id="2" xr3:uid="{00000000-0010-0000-0200-000002000000}" name="Flt Dt" dataDxfId="72" totalsRowDxfId="35"/>
    <tableColumn id="3" xr3:uid="{00000000-0010-0000-0200-000003000000}" name="Flt" totalsRowFunction="count" dataDxfId="71" totalsRowDxfId="34"/>
    <tableColumn id="4" xr3:uid="{00000000-0010-0000-0200-000004000000}" name="DEP" dataDxfId="70" totalsRowDxfId="33"/>
    <tableColumn id="5" xr3:uid="{00000000-0010-0000-0200-000005000000}" name="Brd-Off" totalsRowFunction="count" dataDxfId="69" totalsRowDxfId="32"/>
    <tableColumn id="6" xr3:uid="{00000000-0010-0000-0200-000006000000}" name="Eqp" dataDxfId="68" totalsRowDxfId="31"/>
    <tableColumn id="7" xr3:uid="{00000000-0010-0000-0200-000007000000}" name="LF%" totalsRowFunction="average" dataDxfId="67" totalsRowDxfId="30"/>
    <tableColumn id="8" xr3:uid="{00000000-0010-0000-0200-000008000000}" name="CAP" totalsRowFunction="sum" dataDxfId="66" totalsRowDxfId="29"/>
    <tableColumn id="9" xr3:uid="{00000000-0010-0000-0200-000009000000}" name="BKG(Y)" totalsRowFunction="sum" dataDxfId="65" totalsRowDxfId="28"/>
    <tableColumn id="10" xr3:uid="{00000000-0010-0000-0200-00000A000000}" name="GRP(Y)" totalsRowFunction="sum" dataDxfId="64" totalsRowDxfId="27"/>
    <tableColumn id="11" xr3:uid="{00000000-0010-0000-0200-00000B000000}" name="FLT ST" dataDxfId="63" totalsRowDxfId="26"/>
    <tableColumn id="12" xr3:uid="{00000000-0010-0000-0200-00000C000000}" name="LST-SOLD" dataDxfId="62" totalsRowDxfId="25"/>
    <tableColumn id="13" xr3:uid="{00000000-0010-0000-0200-00000D000000}" name="TO-DAY" totalsRowFunction="sum" dataDxfId="61" totalsRowDxfId="24"/>
    <tableColumn id="14" xr3:uid="{00000000-0010-0000-0200-00000E000000}" name="Y-DAY" totalsRowFunction="sum" dataDxfId="60" totalsRowDxfId="23"/>
    <tableColumn id="15" xr3:uid="{00000000-0010-0000-0200-00000F000000}" name="WEEKLY" totalsRowFunction="sum" dataDxfId="59" totalsRowDxfId="22"/>
    <tableColumn id="16" xr3:uid="{00000000-0010-0000-0200-000010000000}" name="LOWEST AVAIL" dataDxfId="58" totalsRowDxfId="21"/>
    <tableColumn id="17" xr3:uid="{00000000-0010-0000-0200-000011000000}" name="Y" totalsRowFunction="sum" dataDxfId="57" totalsRowDxfId="20"/>
    <tableColumn id="18" xr3:uid="{00000000-0010-0000-0200-000012000000}" name="B" totalsRowFunction="sum" dataDxfId="56" totalsRowDxfId="19"/>
    <tableColumn id="19" xr3:uid="{00000000-0010-0000-0200-000013000000}" name="M" totalsRowFunction="sum" dataDxfId="55" totalsRowDxfId="18"/>
    <tableColumn id="20" xr3:uid="{00000000-0010-0000-0200-000014000000}" name="H" totalsRowFunction="sum" dataDxfId="54" totalsRowDxfId="17"/>
    <tableColumn id="21" xr3:uid="{00000000-0010-0000-0200-000015000000}" name="Q" totalsRowFunction="sum" dataDxfId="53" totalsRowDxfId="16"/>
    <tableColumn id="22" xr3:uid="{00000000-0010-0000-0200-000016000000}" name="K" totalsRowFunction="sum" dataDxfId="52" totalsRowDxfId="15"/>
    <tableColumn id="23" xr3:uid="{00000000-0010-0000-0200-000017000000}" name="V" totalsRowFunction="sum" dataDxfId="51" totalsRowDxfId="14"/>
    <tableColumn id="24" xr3:uid="{00000000-0010-0000-0200-000018000000}" name="L" totalsRowFunction="sum" dataDxfId="50" totalsRowDxfId="13"/>
    <tableColumn id="25" xr3:uid="{00000000-0010-0000-0200-000019000000}" name="G" totalsRowFunction="sum" dataDxfId="49" totalsRowDxfId="12"/>
    <tableColumn id="26" xr3:uid="{00000000-0010-0000-0200-00001A000000}" name="S" totalsRowFunction="sum" dataDxfId="48" totalsRowDxfId="11"/>
    <tableColumn id="27" xr3:uid="{00000000-0010-0000-0200-00001B000000}" name="W" totalsRowFunction="sum" dataDxfId="47" totalsRowDxfId="10"/>
    <tableColumn id="28" xr3:uid="{00000000-0010-0000-0200-00001C000000}" name="T" totalsRowFunction="sum" dataDxfId="46" totalsRowDxfId="9"/>
    <tableColumn id="29" xr3:uid="{00000000-0010-0000-0200-00001D000000}" name="X" totalsRowFunction="sum" dataDxfId="45" totalsRowDxfId="8"/>
    <tableColumn id="30" xr3:uid="{00000000-0010-0000-0200-00001E000000}" name="U" totalsRowFunction="sum" dataDxfId="44" totalsRowDxfId="7"/>
    <tableColumn id="31" xr3:uid="{00000000-0010-0000-0200-00001F000000}" name="O" totalsRowFunction="sum" dataDxfId="43" totalsRowDxfId="6"/>
    <tableColumn id="32" xr3:uid="{00000000-0010-0000-0200-000020000000}" name="I" totalsRowFunction="sum" dataDxfId="42" totalsRowDxfId="5"/>
    <tableColumn id="33" xr3:uid="{00000000-0010-0000-0200-000021000000}" name="E" totalsRowFunction="sum" dataDxfId="41" totalsRowDxfId="4"/>
    <tableColumn id="34" xr3:uid="{00000000-0010-0000-0200-000022000000}" name="A" totalsRowFunction="sum" dataDxfId="40" totalsRowDxfId="3"/>
    <tableColumn id="35" xr3:uid="{00000000-0010-0000-0200-000023000000}" name="P" totalsRowFunction="sum" dataDxfId="39" totalsRowDxfId="2"/>
    <tableColumn id="36" xr3:uid="{00000000-0010-0000-0200-000024000000}" name="N" totalsRowFunction="count" dataDxfId="38" totalsRow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TUU_ATZ" displayName="FocusMode_TUU_ATZ" ref="A1:H7" totalsRowShown="0">
  <autoFilter ref="A1:H7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0"/>
  <sheetViews>
    <sheetView tabSelected="1" workbookViewId="0">
      <selection sqref="A1:E1"/>
    </sheetView>
  </sheetViews>
  <sheetFormatPr defaultRowHeight="14.4" x14ac:dyDescent="0.3"/>
  <cols>
    <col min="1" max="1" width="19.44140625" bestFit="1" customWidth="1"/>
    <col min="2" max="2" width="15.6640625" bestFit="1" customWidth="1"/>
    <col min="3" max="3" width="16.6640625" bestFit="1" customWidth="1"/>
    <col min="4" max="4" width="37.77734375" bestFit="1" customWidth="1"/>
    <col min="5" max="5" width="18.6640625" bestFit="1" customWidth="1"/>
    <col min="6" max="6" width="23.44140625" bestFit="1" customWidth="1"/>
    <col min="7" max="7" width="43.5546875" bestFit="1" customWidth="1"/>
    <col min="8" max="8" width="9.44140625" bestFit="1" customWidth="1"/>
    <col min="9" max="9" width="6.6640625" bestFit="1" customWidth="1"/>
    <col min="10" max="10" width="9.88671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664062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23.44140625" bestFit="1" customWidth="1"/>
  </cols>
  <sheetData>
    <row r="1" spans="1:18" ht="25.05" customHeight="1" x14ac:dyDescent="0.3">
      <c r="A1" s="105" t="s">
        <v>0</v>
      </c>
      <c r="B1" s="104"/>
      <c r="C1" s="104"/>
      <c r="D1" s="104"/>
      <c r="E1" s="104"/>
      <c r="F1" s="1" t="s">
        <v>1</v>
      </c>
      <c r="G1" s="2" t="s">
        <v>2</v>
      </c>
      <c r="H1" s="103">
        <v>45986</v>
      </c>
      <c r="I1" s="104"/>
      <c r="J1" s="104"/>
      <c r="K1" s="104"/>
      <c r="L1" s="104"/>
      <c r="M1" s="1" t="s">
        <v>3</v>
      </c>
      <c r="N1" s="109">
        <v>46001</v>
      </c>
      <c r="O1" s="104"/>
      <c r="P1" s="104"/>
      <c r="Q1" s="104"/>
      <c r="R1" s="104"/>
    </row>
    <row r="2" spans="1:18" ht="18" customHeight="1" x14ac:dyDescent="0.3">
      <c r="A2" s="106" t="s">
        <v>4</v>
      </c>
      <c r="B2" s="104"/>
      <c r="C2" s="104"/>
      <c r="D2" s="104"/>
      <c r="E2" s="104"/>
      <c r="F2" s="104"/>
      <c r="G2" s="108">
        <v>45982.825490240983</v>
      </c>
      <c r="H2" s="104"/>
      <c r="I2" s="104"/>
      <c r="J2" s="104"/>
      <c r="K2" s="110">
        <v>45982.825490241346</v>
      </c>
      <c r="L2" s="104"/>
      <c r="M2" s="104"/>
      <c r="N2" s="104"/>
      <c r="O2" s="104"/>
      <c r="P2" s="104"/>
      <c r="Q2" s="104"/>
      <c r="R2" s="104"/>
    </row>
    <row r="3" spans="1:18" ht="24" customHeight="1" x14ac:dyDescent="0.3">
      <c r="A3" s="107" t="s">
        <v>5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</row>
    <row r="4" spans="1:18" ht="22.05" customHeight="1" x14ac:dyDescent="0.3">
      <c r="A4" s="100" t="s">
        <v>6</v>
      </c>
      <c r="B4" s="101"/>
      <c r="C4" s="101"/>
      <c r="D4" s="101"/>
      <c r="E4" s="101"/>
      <c r="F4" s="102"/>
      <c r="G4" s="3">
        <v>45986</v>
      </c>
      <c r="H4" s="100" t="s">
        <v>7</v>
      </c>
      <c r="I4" s="101"/>
      <c r="J4" s="101"/>
      <c r="K4" s="101"/>
      <c r="L4" s="101"/>
      <c r="M4" s="101"/>
      <c r="N4" s="101"/>
      <c r="O4" s="101"/>
      <c r="P4" s="101"/>
      <c r="Q4" s="101"/>
      <c r="R4" s="102"/>
    </row>
    <row r="5" spans="1:18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</row>
    <row r="6" spans="1:18" ht="49.95" customHeight="1" x14ac:dyDescent="0.3">
      <c r="A6" s="7" t="s">
        <v>26</v>
      </c>
      <c r="B6" s="7" t="s">
        <v>27</v>
      </c>
      <c r="C6" s="7">
        <v>0.93055555555555547</v>
      </c>
      <c r="D6" s="7" t="s">
        <v>28</v>
      </c>
      <c r="E6" s="7" t="s">
        <v>29</v>
      </c>
      <c r="F6" s="7" t="s">
        <v>30</v>
      </c>
      <c r="G6" s="104"/>
      <c r="H6" s="8"/>
      <c r="I6" s="9"/>
      <c r="J6" s="9"/>
      <c r="K6" s="9"/>
      <c r="L6" s="9"/>
      <c r="M6" s="9"/>
      <c r="N6" s="9"/>
      <c r="O6" s="9"/>
      <c r="P6" s="9"/>
      <c r="Q6" s="9"/>
      <c r="R6" s="10"/>
    </row>
    <row r="7" spans="1:18" ht="49.95" customHeight="1" x14ac:dyDescent="0.3">
      <c r="A7" s="11" t="s">
        <v>31</v>
      </c>
      <c r="B7" s="11" t="s">
        <v>32</v>
      </c>
      <c r="C7" s="11">
        <v>0.12847222222222221</v>
      </c>
      <c r="D7" s="11" t="s">
        <v>33</v>
      </c>
      <c r="E7" s="11" t="s">
        <v>34</v>
      </c>
      <c r="F7" s="11" t="s">
        <v>35</v>
      </c>
      <c r="G7" s="104"/>
      <c r="H7" s="12"/>
      <c r="I7" s="13"/>
      <c r="J7" s="13"/>
      <c r="K7" s="13"/>
      <c r="L7" s="13"/>
      <c r="M7" s="13"/>
      <c r="N7" s="13"/>
      <c r="O7" s="13"/>
      <c r="P7" s="13"/>
      <c r="Q7" s="13"/>
      <c r="R7" s="14"/>
    </row>
    <row r="8" spans="1:18" ht="17.399999999999999" customHeight="1" x14ac:dyDescent="0.3">
      <c r="A8" s="129"/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1"/>
    </row>
    <row r="9" spans="1:18" ht="22.05" customHeight="1" x14ac:dyDescent="0.3">
      <c r="A9" s="100" t="s">
        <v>6</v>
      </c>
      <c r="B9" s="101"/>
      <c r="C9" s="101"/>
      <c r="D9" s="101"/>
      <c r="E9" s="101"/>
      <c r="F9" s="102"/>
      <c r="G9" s="3">
        <v>45987</v>
      </c>
      <c r="H9" s="100" t="s">
        <v>7</v>
      </c>
      <c r="I9" s="101"/>
      <c r="J9" s="101"/>
      <c r="K9" s="101"/>
      <c r="L9" s="101"/>
      <c r="M9" s="101"/>
      <c r="N9" s="101"/>
      <c r="O9" s="101"/>
      <c r="P9" s="101"/>
      <c r="Q9" s="101"/>
      <c r="R9" s="102"/>
    </row>
    <row r="10" spans="1:18" ht="24" customHeight="1" x14ac:dyDescent="0.3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5" t="s">
        <v>13</v>
      </c>
      <c r="G10" s="6" t="s">
        <v>14</v>
      </c>
      <c r="H10" s="4" t="s">
        <v>15</v>
      </c>
      <c r="I10" s="4" t="s">
        <v>16</v>
      </c>
      <c r="J10" s="4" t="s">
        <v>17</v>
      </c>
      <c r="K10" s="4" t="s">
        <v>18</v>
      </c>
      <c r="L10" s="4" t="s">
        <v>19</v>
      </c>
      <c r="M10" s="4" t="s">
        <v>20</v>
      </c>
      <c r="N10" s="4" t="s">
        <v>21</v>
      </c>
      <c r="O10" s="4" t="s">
        <v>22</v>
      </c>
      <c r="P10" s="4" t="s">
        <v>23</v>
      </c>
      <c r="Q10" s="4" t="s">
        <v>24</v>
      </c>
      <c r="R10" s="4" t="s">
        <v>25</v>
      </c>
    </row>
    <row r="11" spans="1:18" ht="49.95" customHeight="1" x14ac:dyDescent="0.3">
      <c r="A11" s="7" t="s">
        <v>36</v>
      </c>
      <c r="B11" s="7" t="s">
        <v>37</v>
      </c>
      <c r="C11" s="7">
        <v>0.90625</v>
      </c>
      <c r="D11" s="7" t="s">
        <v>28</v>
      </c>
      <c r="E11" s="7" t="s">
        <v>29</v>
      </c>
      <c r="F11" s="7" t="s">
        <v>38</v>
      </c>
      <c r="G11" s="104"/>
      <c r="H11" s="8"/>
      <c r="I11" s="9"/>
      <c r="J11" s="9"/>
      <c r="K11" s="9"/>
      <c r="L11" s="9"/>
      <c r="M11" s="9"/>
      <c r="N11" s="9"/>
      <c r="O11" s="9"/>
      <c r="P11" s="9"/>
      <c r="Q11" s="9"/>
      <c r="R11" s="10"/>
    </row>
    <row r="12" spans="1:18" ht="49.95" customHeight="1" x14ac:dyDescent="0.3">
      <c r="A12" s="15" t="s">
        <v>39</v>
      </c>
      <c r="B12" s="15" t="s">
        <v>40</v>
      </c>
      <c r="C12" s="15">
        <v>0.86458333333333337</v>
      </c>
      <c r="D12" s="15" t="s">
        <v>28</v>
      </c>
      <c r="E12" s="15" t="s">
        <v>29</v>
      </c>
      <c r="F12" s="15" t="s">
        <v>41</v>
      </c>
      <c r="G12" s="104"/>
      <c r="H12" s="16" t="s">
        <v>42</v>
      </c>
      <c r="I12" s="17">
        <v>0.17860000000000001</v>
      </c>
      <c r="J12" s="18">
        <v>30</v>
      </c>
      <c r="K12" s="19" t="s">
        <v>43</v>
      </c>
      <c r="L12" s="18">
        <v>10</v>
      </c>
      <c r="M12" s="18">
        <v>0</v>
      </c>
      <c r="N12" s="18">
        <v>6</v>
      </c>
      <c r="O12" s="19" t="s">
        <v>44</v>
      </c>
      <c r="P12" s="19">
        <v>0.86458333333333337</v>
      </c>
      <c r="Q12" s="18">
        <v>168</v>
      </c>
      <c r="R12" s="20" t="s">
        <v>45</v>
      </c>
    </row>
    <row r="13" spans="1:18" ht="17.399999999999999" customHeight="1" x14ac:dyDescent="0.3">
      <c r="A13" s="129"/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1"/>
    </row>
    <row r="14" spans="1:18" ht="22.05" customHeight="1" x14ac:dyDescent="0.3">
      <c r="A14" s="100" t="s">
        <v>6</v>
      </c>
      <c r="B14" s="101"/>
      <c r="C14" s="101"/>
      <c r="D14" s="101"/>
      <c r="E14" s="101"/>
      <c r="F14" s="102"/>
      <c r="G14" s="3">
        <v>45988</v>
      </c>
      <c r="H14" s="100" t="s">
        <v>7</v>
      </c>
      <c r="I14" s="101"/>
      <c r="J14" s="101"/>
      <c r="K14" s="101"/>
      <c r="L14" s="101"/>
      <c r="M14" s="101"/>
      <c r="N14" s="101"/>
      <c r="O14" s="101"/>
      <c r="P14" s="101"/>
      <c r="Q14" s="101"/>
      <c r="R14" s="102"/>
    </row>
    <row r="15" spans="1:18" ht="24" customHeight="1" x14ac:dyDescent="0.3">
      <c r="A15" s="4" t="s">
        <v>8</v>
      </c>
      <c r="B15" s="4" t="s">
        <v>9</v>
      </c>
      <c r="C15" s="4" t="s">
        <v>10</v>
      </c>
      <c r="D15" s="4" t="s">
        <v>11</v>
      </c>
      <c r="E15" s="4" t="s">
        <v>12</v>
      </c>
      <c r="F15" s="5" t="s">
        <v>13</v>
      </c>
      <c r="G15" s="6" t="s">
        <v>14</v>
      </c>
      <c r="H15" s="4" t="s">
        <v>15</v>
      </c>
      <c r="I15" s="4" t="s">
        <v>16</v>
      </c>
      <c r="J15" s="4" t="s">
        <v>17</v>
      </c>
      <c r="K15" s="4" t="s">
        <v>18</v>
      </c>
      <c r="L15" s="4" t="s">
        <v>19</v>
      </c>
      <c r="M15" s="4" t="s">
        <v>20</v>
      </c>
      <c r="N15" s="4" t="s">
        <v>21</v>
      </c>
      <c r="O15" s="4" t="s">
        <v>22</v>
      </c>
      <c r="P15" s="4" t="s">
        <v>23</v>
      </c>
      <c r="Q15" s="4" t="s">
        <v>24</v>
      </c>
      <c r="R15" s="4" t="s">
        <v>25</v>
      </c>
    </row>
    <row r="16" spans="1:18" ht="49.95" customHeight="1" x14ac:dyDescent="0.3">
      <c r="A16" s="7" t="s">
        <v>26</v>
      </c>
      <c r="B16" s="7" t="s">
        <v>27</v>
      </c>
      <c r="C16" s="7">
        <v>0.95486111111111116</v>
      </c>
      <c r="D16" s="7" t="s">
        <v>28</v>
      </c>
      <c r="E16" s="7" t="s">
        <v>46</v>
      </c>
      <c r="F16" s="7" t="s">
        <v>30</v>
      </c>
      <c r="G16" s="104"/>
      <c r="H16" s="8"/>
      <c r="I16" s="9"/>
      <c r="J16" s="9"/>
      <c r="K16" s="9"/>
      <c r="L16" s="9"/>
      <c r="M16" s="9"/>
      <c r="N16" s="9"/>
      <c r="O16" s="9"/>
      <c r="P16" s="9"/>
      <c r="Q16" s="9"/>
      <c r="R16" s="10"/>
    </row>
    <row r="17" spans="1:18" ht="49.95" customHeight="1" x14ac:dyDescent="0.3">
      <c r="A17" s="21" t="s">
        <v>31</v>
      </c>
      <c r="B17" s="21" t="s">
        <v>32</v>
      </c>
      <c r="C17" s="21">
        <v>0.12847222222222221</v>
      </c>
      <c r="D17" s="21" t="s">
        <v>33</v>
      </c>
      <c r="E17" s="21" t="s">
        <v>29</v>
      </c>
      <c r="F17" s="21" t="s">
        <v>35</v>
      </c>
      <c r="G17" s="104"/>
      <c r="H17" s="8"/>
      <c r="I17" s="9"/>
      <c r="J17" s="9"/>
      <c r="K17" s="9"/>
      <c r="L17" s="9"/>
      <c r="M17" s="9"/>
      <c r="N17" s="9"/>
      <c r="O17" s="9"/>
      <c r="P17" s="9"/>
      <c r="Q17" s="9"/>
      <c r="R17" s="10"/>
    </row>
    <row r="18" spans="1:18" ht="49.95" customHeight="1" x14ac:dyDescent="0.3">
      <c r="A18" s="21" t="s">
        <v>36</v>
      </c>
      <c r="B18" s="21" t="s">
        <v>47</v>
      </c>
      <c r="C18" s="21">
        <v>0.90625</v>
      </c>
      <c r="D18" s="21" t="s">
        <v>28</v>
      </c>
      <c r="E18" s="21" t="s">
        <v>34</v>
      </c>
      <c r="F18" s="21" t="s">
        <v>38</v>
      </c>
      <c r="G18" s="104"/>
      <c r="H18" s="8"/>
      <c r="I18" s="9"/>
      <c r="J18" s="9"/>
      <c r="K18" s="9"/>
      <c r="L18" s="9"/>
      <c r="M18" s="9"/>
      <c r="N18" s="9"/>
      <c r="O18" s="9"/>
      <c r="P18" s="9"/>
      <c r="Q18" s="9"/>
      <c r="R18" s="10"/>
    </row>
    <row r="19" spans="1:18" ht="49.95" customHeight="1" x14ac:dyDescent="0.3">
      <c r="A19" s="22" t="s">
        <v>39</v>
      </c>
      <c r="B19" s="22" t="s">
        <v>40</v>
      </c>
      <c r="C19" s="22">
        <v>0.86458333333333337</v>
      </c>
      <c r="D19" s="22" t="s">
        <v>28</v>
      </c>
      <c r="E19" s="22" t="s">
        <v>29</v>
      </c>
      <c r="F19" s="22" t="s">
        <v>48</v>
      </c>
      <c r="G19" s="104"/>
      <c r="H19" s="23" t="s">
        <v>42</v>
      </c>
      <c r="I19" s="24">
        <v>0.3095</v>
      </c>
      <c r="J19" s="25">
        <v>52</v>
      </c>
      <c r="K19" s="26" t="s">
        <v>49</v>
      </c>
      <c r="L19" s="25">
        <v>16</v>
      </c>
      <c r="M19" s="25">
        <v>2</v>
      </c>
      <c r="N19" s="25">
        <v>1</v>
      </c>
      <c r="O19" s="26" t="s">
        <v>44</v>
      </c>
      <c r="P19" s="26">
        <v>0.86458333333333337</v>
      </c>
      <c r="Q19" s="25">
        <v>168</v>
      </c>
      <c r="R19" s="27" t="s">
        <v>50</v>
      </c>
    </row>
    <row r="20" spans="1:18" ht="17.399999999999999" customHeight="1" x14ac:dyDescent="0.3">
      <c r="A20" s="129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1"/>
    </row>
    <row r="21" spans="1:18" ht="22.05" customHeight="1" x14ac:dyDescent="0.3">
      <c r="A21" s="100" t="s">
        <v>6</v>
      </c>
      <c r="B21" s="101"/>
      <c r="C21" s="101"/>
      <c r="D21" s="101"/>
      <c r="E21" s="101"/>
      <c r="F21" s="102"/>
      <c r="G21" s="3">
        <v>45989</v>
      </c>
      <c r="H21" s="100" t="s">
        <v>7</v>
      </c>
      <c r="I21" s="101"/>
      <c r="J21" s="101"/>
      <c r="K21" s="101"/>
      <c r="L21" s="101"/>
      <c r="M21" s="101"/>
      <c r="N21" s="101"/>
      <c r="O21" s="101"/>
      <c r="P21" s="101"/>
      <c r="Q21" s="101"/>
      <c r="R21" s="102"/>
    </row>
    <row r="22" spans="1:18" ht="24" customHeight="1" x14ac:dyDescent="0.3">
      <c r="A22" s="4" t="s">
        <v>8</v>
      </c>
      <c r="B22" s="4" t="s">
        <v>9</v>
      </c>
      <c r="C22" s="4" t="s">
        <v>10</v>
      </c>
      <c r="D22" s="4" t="s">
        <v>11</v>
      </c>
      <c r="E22" s="4" t="s">
        <v>12</v>
      </c>
      <c r="F22" s="5" t="s">
        <v>13</v>
      </c>
      <c r="G22" s="6" t="s">
        <v>14</v>
      </c>
      <c r="H22" s="4" t="s">
        <v>15</v>
      </c>
      <c r="I22" s="4" t="s">
        <v>16</v>
      </c>
      <c r="J22" s="4" t="s">
        <v>17</v>
      </c>
      <c r="K22" s="4" t="s">
        <v>18</v>
      </c>
      <c r="L22" s="4" t="s">
        <v>19</v>
      </c>
      <c r="M22" s="4" t="s">
        <v>20</v>
      </c>
      <c r="N22" s="4" t="s">
        <v>21</v>
      </c>
      <c r="O22" s="4" t="s">
        <v>22</v>
      </c>
      <c r="P22" s="4" t="s">
        <v>23</v>
      </c>
      <c r="Q22" s="4" t="s">
        <v>24</v>
      </c>
      <c r="R22" s="4" t="s">
        <v>25</v>
      </c>
    </row>
    <row r="23" spans="1:18" ht="49.95" customHeight="1" x14ac:dyDescent="0.3">
      <c r="A23" s="7" t="s">
        <v>51</v>
      </c>
      <c r="B23" s="7" t="s">
        <v>52</v>
      </c>
      <c r="C23" s="7">
        <v>0.63541666666666663</v>
      </c>
      <c r="D23" s="7" t="s">
        <v>53</v>
      </c>
      <c r="E23" s="7" t="s">
        <v>54</v>
      </c>
      <c r="F23" s="7" t="s">
        <v>55</v>
      </c>
      <c r="G23" s="104"/>
      <c r="H23" s="8"/>
      <c r="I23" s="9"/>
      <c r="J23" s="9"/>
      <c r="K23" s="9"/>
      <c r="L23" s="9"/>
      <c r="M23" s="9"/>
      <c r="N23" s="9"/>
      <c r="O23" s="9"/>
      <c r="P23" s="9"/>
      <c r="Q23" s="9"/>
      <c r="R23" s="10"/>
    </row>
    <row r="24" spans="1:18" ht="49.95" customHeight="1" x14ac:dyDescent="0.3">
      <c r="A24" s="28" t="s">
        <v>51</v>
      </c>
      <c r="B24" s="28" t="s">
        <v>52</v>
      </c>
      <c r="C24" s="28">
        <v>0.63541666666666663</v>
      </c>
      <c r="D24" s="28" t="s">
        <v>56</v>
      </c>
      <c r="E24" s="28" t="s">
        <v>57</v>
      </c>
      <c r="F24" s="28" t="s">
        <v>58</v>
      </c>
      <c r="G24" s="104"/>
      <c r="H24" s="8"/>
      <c r="I24" s="9"/>
      <c r="J24" s="9"/>
      <c r="K24" s="9"/>
      <c r="L24" s="9"/>
      <c r="M24" s="9"/>
      <c r="N24" s="9"/>
      <c r="O24" s="9"/>
      <c r="P24" s="9"/>
      <c r="Q24" s="9"/>
      <c r="R24" s="10"/>
    </row>
    <row r="25" spans="1:18" ht="49.95" customHeight="1" x14ac:dyDescent="0.3">
      <c r="A25" s="21" t="s">
        <v>31</v>
      </c>
      <c r="B25" s="21" t="s">
        <v>32</v>
      </c>
      <c r="C25" s="21">
        <v>0.12847222222222221</v>
      </c>
      <c r="D25" s="21" t="s">
        <v>33</v>
      </c>
      <c r="E25" s="21" t="s">
        <v>29</v>
      </c>
      <c r="F25" s="21" t="s">
        <v>35</v>
      </c>
      <c r="G25" s="104"/>
      <c r="H25" s="8"/>
      <c r="I25" s="9"/>
      <c r="J25" s="9"/>
      <c r="K25" s="9"/>
      <c r="L25" s="9"/>
      <c r="M25" s="9"/>
      <c r="N25" s="9"/>
      <c r="O25" s="9"/>
      <c r="P25" s="9"/>
      <c r="Q25" s="9"/>
      <c r="R25" s="10"/>
    </row>
    <row r="26" spans="1:18" ht="49.95" customHeight="1" x14ac:dyDescent="0.3">
      <c r="A26" s="11" t="s">
        <v>36</v>
      </c>
      <c r="B26" s="11" t="s">
        <v>37</v>
      </c>
      <c r="C26" s="11">
        <v>0.90625</v>
      </c>
      <c r="D26" s="11" t="s">
        <v>28</v>
      </c>
      <c r="E26" s="11" t="s">
        <v>29</v>
      </c>
      <c r="F26" s="11" t="s">
        <v>38</v>
      </c>
      <c r="G26" s="104"/>
      <c r="H26" s="12"/>
      <c r="I26" s="13"/>
      <c r="J26" s="13"/>
      <c r="K26" s="13"/>
      <c r="L26" s="13"/>
      <c r="M26" s="13"/>
      <c r="N26" s="13"/>
      <c r="O26" s="13"/>
      <c r="P26" s="13"/>
      <c r="Q26" s="13"/>
      <c r="R26" s="14"/>
    </row>
    <row r="27" spans="1:18" ht="17.399999999999999" customHeight="1" x14ac:dyDescent="0.3">
      <c r="A27" s="129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1"/>
    </row>
    <row r="28" spans="1:18" ht="22.05" customHeight="1" x14ac:dyDescent="0.3">
      <c r="A28" s="100" t="s">
        <v>6</v>
      </c>
      <c r="B28" s="101"/>
      <c r="C28" s="101"/>
      <c r="D28" s="101"/>
      <c r="E28" s="101"/>
      <c r="F28" s="102"/>
      <c r="G28" s="3">
        <v>45990</v>
      </c>
      <c r="H28" s="100" t="s">
        <v>7</v>
      </c>
      <c r="I28" s="101"/>
      <c r="J28" s="101"/>
      <c r="K28" s="101"/>
      <c r="L28" s="101"/>
      <c r="M28" s="101"/>
      <c r="N28" s="101"/>
      <c r="O28" s="101"/>
      <c r="P28" s="101"/>
      <c r="Q28" s="101"/>
      <c r="R28" s="102"/>
    </row>
    <row r="29" spans="1:18" ht="24" customHeight="1" x14ac:dyDescent="0.3">
      <c r="A29" s="4" t="s">
        <v>8</v>
      </c>
      <c r="B29" s="4" t="s">
        <v>9</v>
      </c>
      <c r="C29" s="4" t="s">
        <v>10</v>
      </c>
      <c r="D29" s="4" t="s">
        <v>11</v>
      </c>
      <c r="E29" s="4" t="s">
        <v>12</v>
      </c>
      <c r="F29" s="5" t="s">
        <v>13</v>
      </c>
      <c r="G29" s="6" t="s">
        <v>14</v>
      </c>
      <c r="H29" s="4" t="s">
        <v>15</v>
      </c>
      <c r="I29" s="4" t="s">
        <v>16</v>
      </c>
      <c r="J29" s="4" t="s">
        <v>17</v>
      </c>
      <c r="K29" s="4" t="s">
        <v>18</v>
      </c>
      <c r="L29" s="4" t="s">
        <v>19</v>
      </c>
      <c r="M29" s="4" t="s">
        <v>20</v>
      </c>
      <c r="N29" s="4" t="s">
        <v>21</v>
      </c>
      <c r="O29" s="4" t="s">
        <v>22</v>
      </c>
      <c r="P29" s="4" t="s">
        <v>23</v>
      </c>
      <c r="Q29" s="4" t="s">
        <v>24</v>
      </c>
      <c r="R29" s="4" t="s">
        <v>25</v>
      </c>
    </row>
    <row r="30" spans="1:18" ht="49.95" customHeight="1" x14ac:dyDescent="0.3">
      <c r="A30" s="7" t="s">
        <v>26</v>
      </c>
      <c r="B30" s="7" t="s">
        <v>27</v>
      </c>
      <c r="C30" s="7">
        <v>0.1701388888888889</v>
      </c>
      <c r="D30" s="7" t="s">
        <v>28</v>
      </c>
      <c r="E30" s="7" t="s">
        <v>46</v>
      </c>
      <c r="F30" s="7" t="s">
        <v>30</v>
      </c>
      <c r="G30" s="104"/>
      <c r="H30" s="8"/>
      <c r="I30" s="9"/>
      <c r="J30" s="9"/>
      <c r="K30" s="9"/>
      <c r="L30" s="9"/>
      <c r="M30" s="9"/>
      <c r="N30" s="9"/>
      <c r="O30" s="9"/>
      <c r="P30" s="9"/>
      <c r="Q30" s="9"/>
      <c r="R30" s="10"/>
    </row>
    <row r="31" spans="1:18" ht="49.95" customHeight="1" x14ac:dyDescent="0.3">
      <c r="A31" s="21" t="s">
        <v>31</v>
      </c>
      <c r="B31" s="21" t="s">
        <v>32</v>
      </c>
      <c r="C31" s="21">
        <v>0.12847222222222221</v>
      </c>
      <c r="D31" s="21" t="s">
        <v>33</v>
      </c>
      <c r="E31" s="21" t="s">
        <v>29</v>
      </c>
      <c r="F31" s="21" t="s">
        <v>35</v>
      </c>
      <c r="G31" s="104"/>
      <c r="H31" s="8"/>
      <c r="I31" s="9"/>
      <c r="J31" s="9"/>
      <c r="K31" s="9"/>
      <c r="L31" s="9"/>
      <c r="M31" s="9"/>
      <c r="N31" s="9"/>
      <c r="O31" s="9"/>
      <c r="P31" s="9"/>
      <c r="Q31" s="9"/>
      <c r="R31" s="10"/>
    </row>
    <row r="32" spans="1:18" ht="49.95" customHeight="1" x14ac:dyDescent="0.3">
      <c r="A32" s="21" t="s">
        <v>36</v>
      </c>
      <c r="B32" s="21" t="s">
        <v>47</v>
      </c>
      <c r="C32" s="21">
        <v>0.90625</v>
      </c>
      <c r="D32" s="21" t="s">
        <v>28</v>
      </c>
      <c r="E32" s="21" t="s">
        <v>34</v>
      </c>
      <c r="F32" s="21" t="s">
        <v>38</v>
      </c>
      <c r="G32" s="104"/>
      <c r="H32" s="8"/>
      <c r="I32" s="9"/>
      <c r="J32" s="9"/>
      <c r="K32" s="9"/>
      <c r="L32" s="9"/>
      <c r="M32" s="9"/>
      <c r="N32" s="9"/>
      <c r="O32" s="9"/>
      <c r="P32" s="9"/>
      <c r="Q32" s="9"/>
      <c r="R32" s="10"/>
    </row>
    <row r="33" spans="1:18" ht="49.95" customHeight="1" x14ac:dyDescent="0.3">
      <c r="A33" s="29" t="s">
        <v>39</v>
      </c>
      <c r="B33" s="29" t="s">
        <v>40</v>
      </c>
      <c r="C33" s="29">
        <v>0.98958333333333337</v>
      </c>
      <c r="D33" s="29" t="s">
        <v>28</v>
      </c>
      <c r="E33" s="29" t="s">
        <v>29</v>
      </c>
      <c r="F33" s="29" t="s">
        <v>48</v>
      </c>
      <c r="G33" s="104"/>
      <c r="H33" s="30" t="s">
        <v>42</v>
      </c>
      <c r="I33" s="31">
        <v>0.16070000000000001</v>
      </c>
      <c r="J33" s="32">
        <v>27</v>
      </c>
      <c r="K33" s="33" t="s">
        <v>43</v>
      </c>
      <c r="L33" s="32">
        <v>12</v>
      </c>
      <c r="M33" s="32">
        <v>0</v>
      </c>
      <c r="N33" s="32">
        <v>4</v>
      </c>
      <c r="O33" s="33" t="s">
        <v>44</v>
      </c>
      <c r="P33" s="33">
        <v>0.98958333333333337</v>
      </c>
      <c r="Q33" s="32">
        <v>168</v>
      </c>
      <c r="R33" s="34" t="s">
        <v>59</v>
      </c>
    </row>
    <row r="34" spans="1:18" ht="17.399999999999999" customHeight="1" x14ac:dyDescent="0.3">
      <c r="A34" s="129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1"/>
    </row>
    <row r="35" spans="1:18" ht="22.05" customHeight="1" x14ac:dyDescent="0.3">
      <c r="A35" s="100" t="s">
        <v>6</v>
      </c>
      <c r="B35" s="101"/>
      <c r="C35" s="101"/>
      <c r="D35" s="101"/>
      <c r="E35" s="101"/>
      <c r="F35" s="102"/>
      <c r="G35" s="3">
        <v>45991</v>
      </c>
      <c r="H35" s="100" t="s">
        <v>7</v>
      </c>
      <c r="I35" s="101"/>
      <c r="J35" s="101"/>
      <c r="K35" s="101"/>
      <c r="L35" s="101"/>
      <c r="M35" s="101"/>
      <c r="N35" s="101"/>
      <c r="O35" s="101"/>
      <c r="P35" s="101"/>
      <c r="Q35" s="101"/>
      <c r="R35" s="102"/>
    </row>
    <row r="36" spans="1:18" ht="24" customHeight="1" x14ac:dyDescent="0.3">
      <c r="A36" s="4" t="s">
        <v>8</v>
      </c>
      <c r="B36" s="4" t="s">
        <v>9</v>
      </c>
      <c r="C36" s="4" t="s">
        <v>10</v>
      </c>
      <c r="D36" s="4" t="s">
        <v>11</v>
      </c>
      <c r="E36" s="4" t="s">
        <v>12</v>
      </c>
      <c r="F36" s="5" t="s">
        <v>13</v>
      </c>
      <c r="G36" s="6" t="s">
        <v>14</v>
      </c>
      <c r="H36" s="4" t="s">
        <v>15</v>
      </c>
      <c r="I36" s="4" t="s">
        <v>16</v>
      </c>
      <c r="J36" s="4" t="s">
        <v>17</v>
      </c>
      <c r="K36" s="4" t="s">
        <v>18</v>
      </c>
      <c r="L36" s="4" t="s">
        <v>19</v>
      </c>
      <c r="M36" s="4" t="s">
        <v>20</v>
      </c>
      <c r="N36" s="4" t="s">
        <v>21</v>
      </c>
      <c r="O36" s="4" t="s">
        <v>22</v>
      </c>
      <c r="P36" s="4" t="s">
        <v>23</v>
      </c>
      <c r="Q36" s="4" t="s">
        <v>24</v>
      </c>
      <c r="R36" s="4" t="s">
        <v>25</v>
      </c>
    </row>
    <row r="37" spans="1:18" ht="49.95" customHeight="1" x14ac:dyDescent="0.3">
      <c r="A37" s="7" t="s">
        <v>26</v>
      </c>
      <c r="B37" s="7" t="s">
        <v>27</v>
      </c>
      <c r="C37" s="7">
        <v>0.86458333333333337</v>
      </c>
      <c r="D37" s="7" t="s">
        <v>28</v>
      </c>
      <c r="E37" s="7" t="s">
        <v>46</v>
      </c>
      <c r="F37" s="7" t="s">
        <v>30</v>
      </c>
      <c r="G37" s="104"/>
      <c r="H37" s="8"/>
      <c r="I37" s="9"/>
      <c r="J37" s="9"/>
      <c r="K37" s="9"/>
      <c r="L37" s="9"/>
      <c r="M37" s="9"/>
      <c r="N37" s="9"/>
      <c r="O37" s="9"/>
      <c r="P37" s="9"/>
      <c r="Q37" s="9"/>
      <c r="R37" s="10"/>
    </row>
    <row r="38" spans="1:18" ht="49.95" customHeight="1" x14ac:dyDescent="0.3">
      <c r="A38" s="11" t="s">
        <v>36</v>
      </c>
      <c r="B38" s="11" t="s">
        <v>60</v>
      </c>
      <c r="C38" s="11">
        <v>0.90625</v>
      </c>
      <c r="D38" s="11" t="s">
        <v>28</v>
      </c>
      <c r="E38" s="11" t="s">
        <v>29</v>
      </c>
      <c r="F38" s="11" t="s">
        <v>38</v>
      </c>
      <c r="G38" s="104"/>
      <c r="H38" s="12"/>
      <c r="I38" s="13"/>
      <c r="J38" s="13"/>
      <c r="K38" s="13"/>
      <c r="L38" s="13"/>
      <c r="M38" s="13"/>
      <c r="N38" s="13"/>
      <c r="O38" s="13"/>
      <c r="P38" s="13"/>
      <c r="Q38" s="13"/>
      <c r="R38" s="14"/>
    </row>
    <row r="39" spans="1:18" ht="17.399999999999999" customHeight="1" x14ac:dyDescent="0.3">
      <c r="A39" s="129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1"/>
    </row>
    <row r="40" spans="1:18" ht="22.05" customHeight="1" x14ac:dyDescent="0.3">
      <c r="A40" s="100" t="s">
        <v>6</v>
      </c>
      <c r="B40" s="101"/>
      <c r="C40" s="101"/>
      <c r="D40" s="101"/>
      <c r="E40" s="101"/>
      <c r="F40" s="102"/>
      <c r="G40" s="3">
        <v>45992</v>
      </c>
      <c r="H40" s="100" t="s">
        <v>7</v>
      </c>
      <c r="I40" s="101"/>
      <c r="J40" s="101"/>
      <c r="K40" s="101"/>
      <c r="L40" s="101"/>
      <c r="M40" s="101"/>
      <c r="N40" s="101"/>
      <c r="O40" s="101"/>
      <c r="P40" s="101"/>
      <c r="Q40" s="101"/>
      <c r="R40" s="102"/>
    </row>
    <row r="41" spans="1:18" ht="24" customHeight="1" x14ac:dyDescent="0.3">
      <c r="A41" s="4" t="s">
        <v>8</v>
      </c>
      <c r="B41" s="4" t="s">
        <v>9</v>
      </c>
      <c r="C41" s="4" t="s">
        <v>10</v>
      </c>
      <c r="D41" s="4" t="s">
        <v>11</v>
      </c>
      <c r="E41" s="4" t="s">
        <v>12</v>
      </c>
      <c r="F41" s="5" t="s">
        <v>13</v>
      </c>
      <c r="G41" s="6" t="s">
        <v>14</v>
      </c>
      <c r="H41" s="4" t="s">
        <v>15</v>
      </c>
      <c r="I41" s="4" t="s">
        <v>16</v>
      </c>
      <c r="J41" s="4" t="s">
        <v>17</v>
      </c>
      <c r="K41" s="4" t="s">
        <v>18</v>
      </c>
      <c r="L41" s="4" t="s">
        <v>19</v>
      </c>
      <c r="M41" s="4" t="s">
        <v>20</v>
      </c>
      <c r="N41" s="4" t="s">
        <v>21</v>
      </c>
      <c r="O41" s="4" t="s">
        <v>22</v>
      </c>
      <c r="P41" s="4" t="s">
        <v>23</v>
      </c>
      <c r="Q41" s="4" t="s">
        <v>24</v>
      </c>
      <c r="R41" s="4" t="s">
        <v>25</v>
      </c>
    </row>
    <row r="42" spans="1:18" ht="49.95" customHeight="1" x14ac:dyDescent="0.3">
      <c r="A42" s="35" t="s">
        <v>36</v>
      </c>
      <c r="B42" s="35" t="s">
        <v>37</v>
      </c>
      <c r="C42" s="35">
        <v>0.86458333333333337</v>
      </c>
      <c r="D42" s="35" t="s">
        <v>28</v>
      </c>
      <c r="E42" s="35" t="s">
        <v>34</v>
      </c>
      <c r="F42" s="35" t="s">
        <v>38</v>
      </c>
      <c r="G42" s="104"/>
      <c r="H42" s="12"/>
      <c r="I42" s="13"/>
      <c r="J42" s="13"/>
      <c r="K42" s="13"/>
      <c r="L42" s="13"/>
      <c r="M42" s="13"/>
      <c r="N42" s="13"/>
      <c r="O42" s="13"/>
      <c r="P42" s="13"/>
      <c r="Q42" s="13"/>
      <c r="R42" s="14"/>
    </row>
    <row r="43" spans="1:18" ht="17.399999999999999" customHeight="1" x14ac:dyDescent="0.3">
      <c r="A43" s="129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1"/>
    </row>
    <row r="44" spans="1:18" ht="22.05" customHeight="1" x14ac:dyDescent="0.3">
      <c r="A44" s="100" t="s">
        <v>6</v>
      </c>
      <c r="B44" s="101"/>
      <c r="C44" s="101"/>
      <c r="D44" s="101"/>
      <c r="E44" s="101"/>
      <c r="F44" s="102"/>
      <c r="G44" s="3">
        <v>45993</v>
      </c>
      <c r="H44" s="100" t="s">
        <v>7</v>
      </c>
      <c r="I44" s="101"/>
      <c r="J44" s="101"/>
      <c r="K44" s="101"/>
      <c r="L44" s="101"/>
      <c r="M44" s="101"/>
      <c r="N44" s="101"/>
      <c r="O44" s="101"/>
      <c r="P44" s="101"/>
      <c r="Q44" s="101"/>
      <c r="R44" s="102"/>
    </row>
    <row r="45" spans="1:18" ht="24" customHeight="1" x14ac:dyDescent="0.3">
      <c r="A45" s="4" t="s">
        <v>8</v>
      </c>
      <c r="B45" s="4" t="s">
        <v>9</v>
      </c>
      <c r="C45" s="4" t="s">
        <v>10</v>
      </c>
      <c r="D45" s="4" t="s">
        <v>11</v>
      </c>
      <c r="E45" s="4" t="s">
        <v>12</v>
      </c>
      <c r="F45" s="5" t="s">
        <v>13</v>
      </c>
      <c r="G45" s="6" t="s">
        <v>14</v>
      </c>
      <c r="H45" s="4" t="s">
        <v>15</v>
      </c>
      <c r="I45" s="4" t="s">
        <v>16</v>
      </c>
      <c r="J45" s="4" t="s">
        <v>17</v>
      </c>
      <c r="K45" s="4" t="s">
        <v>18</v>
      </c>
      <c r="L45" s="4" t="s">
        <v>19</v>
      </c>
      <c r="M45" s="4" t="s">
        <v>20</v>
      </c>
      <c r="N45" s="4" t="s">
        <v>21</v>
      </c>
      <c r="O45" s="4" t="s">
        <v>22</v>
      </c>
      <c r="P45" s="4" t="s">
        <v>23</v>
      </c>
      <c r="Q45" s="4" t="s">
        <v>24</v>
      </c>
      <c r="R45" s="4" t="s">
        <v>25</v>
      </c>
    </row>
    <row r="46" spans="1:18" ht="49.95" customHeight="1" x14ac:dyDescent="0.3">
      <c r="A46" s="7" t="s">
        <v>31</v>
      </c>
      <c r="B46" s="7" t="s">
        <v>32</v>
      </c>
      <c r="C46" s="7">
        <v>0.12847222222222221</v>
      </c>
      <c r="D46" s="7" t="s">
        <v>33</v>
      </c>
      <c r="E46" s="7" t="s">
        <v>29</v>
      </c>
      <c r="F46" s="7" t="s">
        <v>35</v>
      </c>
      <c r="G46" s="104"/>
      <c r="H46" s="8"/>
      <c r="I46" s="9"/>
      <c r="J46" s="9"/>
      <c r="K46" s="9"/>
      <c r="L46" s="9"/>
      <c r="M46" s="9"/>
      <c r="N46" s="9"/>
      <c r="O46" s="9"/>
      <c r="P46" s="9"/>
      <c r="Q46" s="9"/>
      <c r="R46" s="10"/>
    </row>
    <row r="47" spans="1:18" ht="49.95" customHeight="1" x14ac:dyDescent="0.3">
      <c r="A47" s="11" t="s">
        <v>26</v>
      </c>
      <c r="B47" s="11" t="s">
        <v>27</v>
      </c>
      <c r="C47" s="11">
        <v>0.93055555555555547</v>
      </c>
      <c r="D47" s="11" t="s">
        <v>28</v>
      </c>
      <c r="E47" s="11" t="s">
        <v>29</v>
      </c>
      <c r="F47" s="11" t="s">
        <v>38</v>
      </c>
      <c r="G47" s="104"/>
      <c r="H47" s="12"/>
      <c r="I47" s="13"/>
      <c r="J47" s="13"/>
      <c r="K47" s="13"/>
      <c r="L47" s="13"/>
      <c r="M47" s="13"/>
      <c r="N47" s="13"/>
      <c r="O47" s="13"/>
      <c r="P47" s="13"/>
      <c r="Q47" s="13"/>
      <c r="R47" s="14"/>
    </row>
    <row r="48" spans="1:18" ht="17.399999999999999" customHeight="1" x14ac:dyDescent="0.3">
      <c r="A48" s="129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1"/>
    </row>
    <row r="49" spans="1:18" ht="22.05" customHeight="1" x14ac:dyDescent="0.3">
      <c r="A49" s="100" t="s">
        <v>6</v>
      </c>
      <c r="B49" s="101"/>
      <c r="C49" s="101"/>
      <c r="D49" s="101"/>
      <c r="E49" s="101"/>
      <c r="F49" s="102"/>
      <c r="G49" s="3">
        <v>45994</v>
      </c>
      <c r="H49" s="100" t="s">
        <v>7</v>
      </c>
      <c r="I49" s="101"/>
      <c r="J49" s="101"/>
      <c r="K49" s="101"/>
      <c r="L49" s="101"/>
      <c r="M49" s="101"/>
      <c r="N49" s="101"/>
      <c r="O49" s="101"/>
      <c r="P49" s="101"/>
      <c r="Q49" s="101"/>
      <c r="R49" s="102"/>
    </row>
    <row r="50" spans="1:18" ht="24" customHeight="1" x14ac:dyDescent="0.3">
      <c r="A50" s="4" t="s">
        <v>8</v>
      </c>
      <c r="B50" s="4" t="s">
        <v>9</v>
      </c>
      <c r="C50" s="4" t="s">
        <v>10</v>
      </c>
      <c r="D50" s="4" t="s">
        <v>11</v>
      </c>
      <c r="E50" s="4" t="s">
        <v>12</v>
      </c>
      <c r="F50" s="5" t="s">
        <v>13</v>
      </c>
      <c r="G50" s="6" t="s">
        <v>14</v>
      </c>
      <c r="H50" s="4" t="s">
        <v>15</v>
      </c>
      <c r="I50" s="4" t="s">
        <v>16</v>
      </c>
      <c r="J50" s="4" t="s">
        <v>17</v>
      </c>
      <c r="K50" s="4" t="s">
        <v>18</v>
      </c>
      <c r="L50" s="4" t="s">
        <v>19</v>
      </c>
      <c r="M50" s="4" t="s">
        <v>20</v>
      </c>
      <c r="N50" s="4" t="s">
        <v>21</v>
      </c>
      <c r="O50" s="4" t="s">
        <v>22</v>
      </c>
      <c r="P50" s="4" t="s">
        <v>23</v>
      </c>
      <c r="Q50" s="4" t="s">
        <v>24</v>
      </c>
      <c r="R50" s="4" t="s">
        <v>25</v>
      </c>
    </row>
    <row r="51" spans="1:18" ht="49.95" customHeight="1" x14ac:dyDescent="0.3">
      <c r="A51" s="7" t="s">
        <v>51</v>
      </c>
      <c r="B51" s="7" t="s">
        <v>52</v>
      </c>
      <c r="C51" s="7">
        <v>0.63541666666666663</v>
      </c>
      <c r="D51" s="7" t="s">
        <v>53</v>
      </c>
      <c r="E51" s="7" t="s">
        <v>54</v>
      </c>
      <c r="F51" s="7" t="s">
        <v>61</v>
      </c>
      <c r="G51" s="104"/>
      <c r="H51" s="8"/>
      <c r="I51" s="9"/>
      <c r="J51" s="9"/>
      <c r="K51" s="9"/>
      <c r="L51" s="9"/>
      <c r="M51" s="9"/>
      <c r="N51" s="9"/>
      <c r="O51" s="9"/>
      <c r="P51" s="9"/>
      <c r="Q51" s="9"/>
      <c r="R51" s="10"/>
    </row>
    <row r="52" spans="1:18" ht="49.95" customHeight="1" x14ac:dyDescent="0.3">
      <c r="A52" s="28" t="s">
        <v>51</v>
      </c>
      <c r="B52" s="28" t="s">
        <v>52</v>
      </c>
      <c r="C52" s="28">
        <v>0.63541666666666663</v>
      </c>
      <c r="D52" s="28" t="s">
        <v>56</v>
      </c>
      <c r="E52" s="28" t="s">
        <v>57</v>
      </c>
      <c r="F52" s="28" t="s">
        <v>62</v>
      </c>
      <c r="G52" s="104"/>
      <c r="H52" s="8"/>
      <c r="I52" s="9"/>
      <c r="J52" s="9"/>
      <c r="K52" s="9"/>
      <c r="L52" s="9"/>
      <c r="M52" s="9"/>
      <c r="N52" s="9"/>
      <c r="O52" s="9"/>
      <c r="P52" s="9"/>
      <c r="Q52" s="9"/>
      <c r="R52" s="10"/>
    </row>
    <row r="53" spans="1:18" ht="49.95" customHeight="1" x14ac:dyDescent="0.3">
      <c r="A53" s="21" t="s">
        <v>36</v>
      </c>
      <c r="B53" s="21" t="s">
        <v>37</v>
      </c>
      <c r="C53" s="21">
        <v>0.90625</v>
      </c>
      <c r="D53" s="21" t="s">
        <v>28</v>
      </c>
      <c r="E53" s="21" t="s">
        <v>34</v>
      </c>
      <c r="F53" s="21" t="s">
        <v>38</v>
      </c>
      <c r="G53" s="104"/>
      <c r="H53" s="8"/>
      <c r="I53" s="9"/>
      <c r="J53" s="9"/>
      <c r="K53" s="9"/>
      <c r="L53" s="9"/>
      <c r="M53" s="9"/>
      <c r="N53" s="9"/>
      <c r="O53" s="9"/>
      <c r="P53" s="9"/>
      <c r="Q53" s="9"/>
      <c r="R53" s="10"/>
    </row>
    <row r="54" spans="1:18" ht="49.95" customHeight="1" x14ac:dyDescent="0.3">
      <c r="A54" s="36" t="s">
        <v>39</v>
      </c>
      <c r="B54" s="36" t="s">
        <v>40</v>
      </c>
      <c r="C54" s="36">
        <v>0.86458333333333337</v>
      </c>
      <c r="D54" s="36" t="s">
        <v>28</v>
      </c>
      <c r="E54" s="36" t="s">
        <v>29</v>
      </c>
      <c r="F54" s="36" t="s">
        <v>41</v>
      </c>
      <c r="G54" s="104"/>
      <c r="H54" s="37" t="s">
        <v>42</v>
      </c>
      <c r="I54" s="38">
        <v>0.41239999999999999</v>
      </c>
      <c r="J54" s="39">
        <v>40</v>
      </c>
      <c r="K54" s="40" t="s">
        <v>63</v>
      </c>
      <c r="L54" s="39">
        <v>3</v>
      </c>
      <c r="M54" s="39">
        <v>0</v>
      </c>
      <c r="N54" s="39">
        <v>0</v>
      </c>
      <c r="O54" s="40" t="s">
        <v>44</v>
      </c>
      <c r="P54" s="40">
        <v>0.86458333333333337</v>
      </c>
      <c r="Q54" s="39">
        <v>97</v>
      </c>
      <c r="R54" s="41" t="s">
        <v>64</v>
      </c>
    </row>
    <row r="55" spans="1:18" ht="17.399999999999999" customHeight="1" x14ac:dyDescent="0.3">
      <c r="A55" s="129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1"/>
    </row>
    <row r="56" spans="1:18" ht="22.05" customHeight="1" x14ac:dyDescent="0.3">
      <c r="A56" s="100" t="s">
        <v>6</v>
      </c>
      <c r="B56" s="101"/>
      <c r="C56" s="101"/>
      <c r="D56" s="101"/>
      <c r="E56" s="101"/>
      <c r="F56" s="102"/>
      <c r="G56" s="3">
        <v>45995</v>
      </c>
      <c r="H56" s="100" t="s">
        <v>7</v>
      </c>
      <c r="I56" s="101"/>
      <c r="J56" s="101"/>
      <c r="K56" s="101"/>
      <c r="L56" s="101"/>
      <c r="M56" s="101"/>
      <c r="N56" s="101"/>
      <c r="O56" s="101"/>
      <c r="P56" s="101"/>
      <c r="Q56" s="101"/>
      <c r="R56" s="102"/>
    </row>
    <row r="57" spans="1:18" ht="24" customHeight="1" x14ac:dyDescent="0.3">
      <c r="A57" s="4" t="s">
        <v>8</v>
      </c>
      <c r="B57" s="4" t="s">
        <v>9</v>
      </c>
      <c r="C57" s="4" t="s">
        <v>10</v>
      </c>
      <c r="D57" s="4" t="s">
        <v>11</v>
      </c>
      <c r="E57" s="4" t="s">
        <v>12</v>
      </c>
      <c r="F57" s="5" t="s">
        <v>13</v>
      </c>
      <c r="G57" s="6" t="s">
        <v>14</v>
      </c>
      <c r="H57" s="4" t="s">
        <v>15</v>
      </c>
      <c r="I57" s="4" t="s">
        <v>16</v>
      </c>
      <c r="J57" s="4" t="s">
        <v>17</v>
      </c>
      <c r="K57" s="4" t="s">
        <v>18</v>
      </c>
      <c r="L57" s="4" t="s">
        <v>19</v>
      </c>
      <c r="M57" s="4" t="s">
        <v>20</v>
      </c>
      <c r="N57" s="4" t="s">
        <v>21</v>
      </c>
      <c r="O57" s="4" t="s">
        <v>22</v>
      </c>
      <c r="P57" s="4" t="s">
        <v>23</v>
      </c>
      <c r="Q57" s="4" t="s">
        <v>24</v>
      </c>
      <c r="R57" s="4" t="s">
        <v>25</v>
      </c>
    </row>
    <row r="58" spans="1:18" ht="49.95" customHeight="1" x14ac:dyDescent="0.3">
      <c r="A58" s="7" t="s">
        <v>31</v>
      </c>
      <c r="B58" s="7" t="s">
        <v>32</v>
      </c>
      <c r="C58" s="7">
        <v>0.12847222222222221</v>
      </c>
      <c r="D58" s="7" t="s">
        <v>33</v>
      </c>
      <c r="E58" s="7" t="s">
        <v>29</v>
      </c>
      <c r="F58" s="7" t="s">
        <v>35</v>
      </c>
      <c r="G58" s="104"/>
      <c r="H58" s="8"/>
      <c r="I58" s="9"/>
      <c r="J58" s="9"/>
      <c r="K58" s="9"/>
      <c r="L58" s="9"/>
      <c r="M58" s="9"/>
      <c r="N58" s="9"/>
      <c r="O58" s="9"/>
      <c r="P58" s="9"/>
      <c r="Q58" s="9"/>
      <c r="R58" s="10"/>
    </row>
    <row r="59" spans="1:18" ht="49.95" customHeight="1" x14ac:dyDescent="0.3">
      <c r="A59" s="21" t="s">
        <v>26</v>
      </c>
      <c r="B59" s="21" t="s">
        <v>27</v>
      </c>
      <c r="C59" s="21">
        <v>0.95486111111111116</v>
      </c>
      <c r="D59" s="21" t="s">
        <v>28</v>
      </c>
      <c r="E59" s="21" t="s">
        <v>29</v>
      </c>
      <c r="F59" s="21" t="s">
        <v>38</v>
      </c>
      <c r="G59" s="104"/>
      <c r="H59" s="8"/>
      <c r="I59" s="9"/>
      <c r="J59" s="9"/>
      <c r="K59" s="9"/>
      <c r="L59" s="9"/>
      <c r="M59" s="9"/>
      <c r="N59" s="9"/>
      <c r="O59" s="9"/>
      <c r="P59" s="9"/>
      <c r="Q59" s="9"/>
      <c r="R59" s="10"/>
    </row>
    <row r="60" spans="1:18" ht="49.95" customHeight="1" x14ac:dyDescent="0.3">
      <c r="A60" s="21" t="s">
        <v>36</v>
      </c>
      <c r="B60" s="21" t="s">
        <v>47</v>
      </c>
      <c r="C60" s="21">
        <v>0.90625</v>
      </c>
      <c r="D60" s="21" t="s">
        <v>28</v>
      </c>
      <c r="E60" s="21" t="s">
        <v>65</v>
      </c>
      <c r="F60" s="21" t="s">
        <v>38</v>
      </c>
      <c r="G60" s="104"/>
      <c r="H60" s="8"/>
      <c r="I60" s="9"/>
      <c r="J60" s="9"/>
      <c r="K60" s="9"/>
      <c r="L60" s="9"/>
      <c r="M60" s="9"/>
      <c r="N60" s="9"/>
      <c r="O60" s="9"/>
      <c r="P60" s="9"/>
      <c r="Q60" s="9"/>
      <c r="R60" s="10"/>
    </row>
    <row r="61" spans="1:18" ht="49.95" customHeight="1" x14ac:dyDescent="0.3">
      <c r="A61" s="22" t="s">
        <v>39</v>
      </c>
      <c r="B61" s="22" t="s">
        <v>40</v>
      </c>
      <c r="C61" s="22">
        <v>0.86458333333333337</v>
      </c>
      <c r="D61" s="22" t="s">
        <v>28</v>
      </c>
      <c r="E61" s="22" t="s">
        <v>29</v>
      </c>
      <c r="F61" s="22" t="s">
        <v>48</v>
      </c>
      <c r="G61" s="104"/>
      <c r="H61" s="23" t="s">
        <v>42</v>
      </c>
      <c r="I61" s="24">
        <v>0.34520000000000001</v>
      </c>
      <c r="J61" s="25">
        <v>58</v>
      </c>
      <c r="K61" s="26" t="s">
        <v>49</v>
      </c>
      <c r="L61" s="25">
        <v>11</v>
      </c>
      <c r="M61" s="25">
        <v>2</v>
      </c>
      <c r="N61" s="25">
        <v>3</v>
      </c>
      <c r="O61" s="26" t="s">
        <v>44</v>
      </c>
      <c r="P61" s="26">
        <v>0.86458333333333337</v>
      </c>
      <c r="Q61" s="25">
        <v>168</v>
      </c>
      <c r="R61" s="27" t="s">
        <v>66</v>
      </c>
    </row>
    <row r="62" spans="1:18" ht="17.399999999999999" customHeight="1" x14ac:dyDescent="0.3">
      <c r="A62" s="129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1"/>
    </row>
    <row r="63" spans="1:18" ht="22.05" customHeight="1" x14ac:dyDescent="0.3">
      <c r="A63" s="100" t="s">
        <v>6</v>
      </c>
      <c r="B63" s="101"/>
      <c r="C63" s="101"/>
      <c r="D63" s="101"/>
      <c r="E63" s="101"/>
      <c r="F63" s="102"/>
      <c r="G63" s="3">
        <v>45996</v>
      </c>
      <c r="H63" s="100" t="s">
        <v>7</v>
      </c>
      <c r="I63" s="101"/>
      <c r="J63" s="101"/>
      <c r="K63" s="101"/>
      <c r="L63" s="101"/>
      <c r="M63" s="101"/>
      <c r="N63" s="101"/>
      <c r="O63" s="101"/>
      <c r="P63" s="101"/>
      <c r="Q63" s="101"/>
      <c r="R63" s="102"/>
    </row>
    <row r="64" spans="1:18" ht="24" customHeight="1" x14ac:dyDescent="0.3">
      <c r="A64" s="4" t="s">
        <v>8</v>
      </c>
      <c r="B64" s="4" t="s">
        <v>9</v>
      </c>
      <c r="C64" s="4" t="s">
        <v>10</v>
      </c>
      <c r="D64" s="4" t="s">
        <v>11</v>
      </c>
      <c r="E64" s="4" t="s">
        <v>12</v>
      </c>
      <c r="F64" s="5" t="s">
        <v>13</v>
      </c>
      <c r="G64" s="6" t="s">
        <v>14</v>
      </c>
      <c r="H64" s="4" t="s">
        <v>15</v>
      </c>
      <c r="I64" s="4" t="s">
        <v>16</v>
      </c>
      <c r="J64" s="4" t="s">
        <v>17</v>
      </c>
      <c r="K64" s="4" t="s">
        <v>18</v>
      </c>
      <c r="L64" s="4" t="s">
        <v>19</v>
      </c>
      <c r="M64" s="4" t="s">
        <v>20</v>
      </c>
      <c r="N64" s="4" t="s">
        <v>21</v>
      </c>
      <c r="O64" s="4" t="s">
        <v>22</v>
      </c>
      <c r="P64" s="4" t="s">
        <v>23</v>
      </c>
      <c r="Q64" s="4" t="s">
        <v>24</v>
      </c>
      <c r="R64" s="4" t="s">
        <v>25</v>
      </c>
    </row>
    <row r="65" spans="1:18" ht="49.95" customHeight="1" x14ac:dyDescent="0.3">
      <c r="A65" s="7" t="s">
        <v>51</v>
      </c>
      <c r="B65" s="7" t="s">
        <v>52</v>
      </c>
      <c r="C65" s="7">
        <v>0.63541666666666663</v>
      </c>
      <c r="D65" s="7" t="s">
        <v>53</v>
      </c>
      <c r="E65" s="7" t="s">
        <v>54</v>
      </c>
      <c r="F65" s="7" t="s">
        <v>55</v>
      </c>
      <c r="G65" s="104"/>
      <c r="H65" s="8"/>
      <c r="I65" s="9"/>
      <c r="J65" s="9"/>
      <c r="K65" s="9"/>
      <c r="L65" s="9"/>
      <c r="M65" s="9"/>
      <c r="N65" s="9"/>
      <c r="O65" s="9"/>
      <c r="P65" s="9"/>
      <c r="Q65" s="9"/>
      <c r="R65" s="10"/>
    </row>
    <row r="66" spans="1:18" ht="49.95" customHeight="1" x14ac:dyDescent="0.3">
      <c r="A66" s="28" t="s">
        <v>51</v>
      </c>
      <c r="B66" s="28" t="s">
        <v>52</v>
      </c>
      <c r="C66" s="28">
        <v>0.63541666666666663</v>
      </c>
      <c r="D66" s="28" t="s">
        <v>56</v>
      </c>
      <c r="E66" s="28" t="s">
        <v>57</v>
      </c>
      <c r="F66" s="28" t="s">
        <v>58</v>
      </c>
      <c r="G66" s="104"/>
      <c r="H66" s="8"/>
      <c r="I66" s="9"/>
      <c r="J66" s="9"/>
      <c r="K66" s="9"/>
      <c r="L66" s="9"/>
      <c r="M66" s="9"/>
      <c r="N66" s="9"/>
      <c r="O66" s="9"/>
      <c r="P66" s="9"/>
      <c r="Q66" s="9"/>
      <c r="R66" s="10"/>
    </row>
    <row r="67" spans="1:18" ht="49.95" customHeight="1" x14ac:dyDescent="0.3">
      <c r="A67" s="21" t="s">
        <v>31</v>
      </c>
      <c r="B67" s="21" t="s">
        <v>32</v>
      </c>
      <c r="C67" s="21">
        <v>0.12847222222222221</v>
      </c>
      <c r="D67" s="21" t="s">
        <v>33</v>
      </c>
      <c r="E67" s="21" t="s">
        <v>67</v>
      </c>
      <c r="F67" s="21" t="s">
        <v>35</v>
      </c>
      <c r="G67" s="104"/>
      <c r="H67" s="8"/>
      <c r="I67" s="9"/>
      <c r="J67" s="9"/>
      <c r="K67" s="9"/>
      <c r="L67" s="9"/>
      <c r="M67" s="9"/>
      <c r="N67" s="9"/>
      <c r="O67" s="9"/>
      <c r="P67" s="9"/>
      <c r="Q67" s="9"/>
      <c r="R67" s="10"/>
    </row>
    <row r="68" spans="1:18" ht="49.95" customHeight="1" x14ac:dyDescent="0.3">
      <c r="A68" s="11" t="s">
        <v>36</v>
      </c>
      <c r="B68" s="11" t="s">
        <v>37</v>
      </c>
      <c r="C68" s="11">
        <v>0.90625</v>
      </c>
      <c r="D68" s="11" t="s">
        <v>28</v>
      </c>
      <c r="E68" s="11" t="s">
        <v>29</v>
      </c>
      <c r="F68" s="11" t="s">
        <v>38</v>
      </c>
      <c r="G68" s="104"/>
      <c r="H68" s="12"/>
      <c r="I68" s="13"/>
      <c r="J68" s="13"/>
      <c r="K68" s="13"/>
      <c r="L68" s="13"/>
      <c r="M68" s="13"/>
      <c r="N68" s="13"/>
      <c r="O68" s="13"/>
      <c r="P68" s="13"/>
      <c r="Q68" s="13"/>
      <c r="R68" s="14"/>
    </row>
    <row r="69" spans="1:18" ht="17.399999999999999" customHeight="1" x14ac:dyDescent="0.3">
      <c r="A69" s="129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1"/>
    </row>
    <row r="70" spans="1:18" ht="22.05" customHeight="1" x14ac:dyDescent="0.3">
      <c r="A70" s="100" t="s">
        <v>6</v>
      </c>
      <c r="B70" s="101"/>
      <c r="C70" s="101"/>
      <c r="D70" s="101"/>
      <c r="E70" s="101"/>
      <c r="F70" s="102"/>
      <c r="G70" s="3">
        <v>45997</v>
      </c>
      <c r="H70" s="100" t="s">
        <v>7</v>
      </c>
      <c r="I70" s="101"/>
      <c r="J70" s="101"/>
      <c r="K70" s="101"/>
      <c r="L70" s="101"/>
      <c r="M70" s="101"/>
      <c r="N70" s="101"/>
      <c r="O70" s="101"/>
      <c r="P70" s="101"/>
      <c r="Q70" s="101"/>
      <c r="R70" s="102"/>
    </row>
    <row r="71" spans="1:18" ht="24" customHeight="1" x14ac:dyDescent="0.3">
      <c r="A71" s="4" t="s">
        <v>8</v>
      </c>
      <c r="B71" s="4" t="s">
        <v>9</v>
      </c>
      <c r="C71" s="4" t="s">
        <v>10</v>
      </c>
      <c r="D71" s="4" t="s">
        <v>11</v>
      </c>
      <c r="E71" s="4" t="s">
        <v>12</v>
      </c>
      <c r="F71" s="5" t="s">
        <v>13</v>
      </c>
      <c r="G71" s="6" t="s">
        <v>14</v>
      </c>
      <c r="H71" s="4" t="s">
        <v>15</v>
      </c>
      <c r="I71" s="4" t="s">
        <v>16</v>
      </c>
      <c r="J71" s="4" t="s">
        <v>17</v>
      </c>
      <c r="K71" s="4" t="s">
        <v>18</v>
      </c>
      <c r="L71" s="4" t="s">
        <v>19</v>
      </c>
      <c r="M71" s="4" t="s">
        <v>20</v>
      </c>
      <c r="N71" s="4" t="s">
        <v>21</v>
      </c>
      <c r="O71" s="4" t="s">
        <v>22</v>
      </c>
      <c r="P71" s="4" t="s">
        <v>23</v>
      </c>
      <c r="Q71" s="4" t="s">
        <v>24</v>
      </c>
      <c r="R71" s="4" t="s">
        <v>25</v>
      </c>
    </row>
    <row r="72" spans="1:18" ht="49.95" customHeight="1" x14ac:dyDescent="0.3">
      <c r="A72" s="7" t="s">
        <v>31</v>
      </c>
      <c r="B72" s="7" t="s">
        <v>32</v>
      </c>
      <c r="C72" s="7">
        <v>0.12847222222222221</v>
      </c>
      <c r="D72" s="7" t="s">
        <v>33</v>
      </c>
      <c r="E72" s="7" t="s">
        <v>29</v>
      </c>
      <c r="F72" s="7" t="s">
        <v>35</v>
      </c>
      <c r="G72" s="104"/>
      <c r="H72" s="8"/>
      <c r="I72" s="9"/>
      <c r="J72" s="9"/>
      <c r="K72" s="9"/>
      <c r="L72" s="9"/>
      <c r="M72" s="9"/>
      <c r="N72" s="9"/>
      <c r="O72" s="9"/>
      <c r="P72" s="9"/>
      <c r="Q72" s="9"/>
      <c r="R72" s="10"/>
    </row>
    <row r="73" spans="1:18" ht="49.95" customHeight="1" x14ac:dyDescent="0.3">
      <c r="A73" s="21" t="s">
        <v>26</v>
      </c>
      <c r="B73" s="21" t="s">
        <v>27</v>
      </c>
      <c r="C73" s="21">
        <v>0.82291666666666663</v>
      </c>
      <c r="D73" s="21" t="s">
        <v>28</v>
      </c>
      <c r="E73" s="21" t="s">
        <v>29</v>
      </c>
      <c r="F73" s="21" t="s">
        <v>38</v>
      </c>
      <c r="G73" s="104"/>
      <c r="H73" s="8"/>
      <c r="I73" s="9"/>
      <c r="J73" s="9"/>
      <c r="K73" s="9"/>
      <c r="L73" s="9"/>
      <c r="M73" s="9"/>
      <c r="N73" s="9"/>
      <c r="O73" s="9"/>
      <c r="P73" s="9"/>
      <c r="Q73" s="9"/>
      <c r="R73" s="10"/>
    </row>
    <row r="74" spans="1:18" ht="49.95" customHeight="1" x14ac:dyDescent="0.3">
      <c r="A74" s="21" t="s">
        <v>36</v>
      </c>
      <c r="B74" s="21" t="s">
        <v>47</v>
      </c>
      <c r="C74" s="21">
        <v>0.90625</v>
      </c>
      <c r="D74" s="21" t="s">
        <v>28</v>
      </c>
      <c r="E74" s="21" t="s">
        <v>29</v>
      </c>
      <c r="F74" s="21" t="s">
        <v>38</v>
      </c>
      <c r="G74" s="104"/>
      <c r="H74" s="8"/>
      <c r="I74" s="9"/>
      <c r="J74" s="9"/>
      <c r="K74" s="9"/>
      <c r="L74" s="9"/>
      <c r="M74" s="9"/>
      <c r="N74" s="9"/>
      <c r="O74" s="9"/>
      <c r="P74" s="9"/>
      <c r="Q74" s="9"/>
      <c r="R74" s="10"/>
    </row>
    <row r="75" spans="1:18" ht="49.95" customHeight="1" x14ac:dyDescent="0.3">
      <c r="A75" s="42" t="s">
        <v>39</v>
      </c>
      <c r="B75" s="42" t="s">
        <v>40</v>
      </c>
      <c r="C75" s="42">
        <v>0.98958333333333337</v>
      </c>
      <c r="D75" s="42" t="s">
        <v>28</v>
      </c>
      <c r="E75" s="42" t="s">
        <v>29</v>
      </c>
      <c r="F75" s="42" t="s">
        <v>48</v>
      </c>
      <c r="G75" s="104"/>
      <c r="H75" s="43" t="s">
        <v>42</v>
      </c>
      <c r="I75" s="44">
        <v>1.03E-2</v>
      </c>
      <c r="J75" s="45">
        <v>1</v>
      </c>
      <c r="K75" s="46" t="s">
        <v>68</v>
      </c>
      <c r="L75" s="45">
        <v>0</v>
      </c>
      <c r="M75" s="45">
        <v>0</v>
      </c>
      <c r="N75" s="45">
        <v>0</v>
      </c>
      <c r="O75" s="46" t="s">
        <v>44</v>
      </c>
      <c r="P75" s="46">
        <v>0.98958333333333337</v>
      </c>
      <c r="Q75" s="45">
        <v>97</v>
      </c>
      <c r="R75" s="47" t="s">
        <v>69</v>
      </c>
    </row>
    <row r="76" spans="1:18" ht="17.399999999999999" customHeight="1" x14ac:dyDescent="0.3">
      <c r="A76" s="129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1"/>
    </row>
    <row r="77" spans="1:18" ht="17.399999999999999" customHeight="1" x14ac:dyDescent="0.3">
      <c r="A77" s="129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1"/>
    </row>
    <row r="78" spans="1:18" ht="22.05" customHeight="1" x14ac:dyDescent="0.3">
      <c r="A78" s="100" t="s">
        <v>6</v>
      </c>
      <c r="B78" s="101"/>
      <c r="C78" s="101"/>
      <c r="D78" s="101"/>
      <c r="E78" s="101"/>
      <c r="F78" s="102"/>
      <c r="G78" s="3">
        <v>45999</v>
      </c>
      <c r="H78" s="100" t="s">
        <v>7</v>
      </c>
      <c r="I78" s="101"/>
      <c r="J78" s="101"/>
      <c r="K78" s="101"/>
      <c r="L78" s="101"/>
      <c r="M78" s="101"/>
      <c r="N78" s="101"/>
      <c r="O78" s="101"/>
      <c r="P78" s="101"/>
      <c r="Q78" s="101"/>
      <c r="R78" s="102"/>
    </row>
    <row r="79" spans="1:18" ht="24" customHeight="1" x14ac:dyDescent="0.3">
      <c r="A79" s="4" t="s">
        <v>8</v>
      </c>
      <c r="B79" s="4" t="s">
        <v>9</v>
      </c>
      <c r="C79" s="4" t="s">
        <v>10</v>
      </c>
      <c r="D79" s="4" t="s">
        <v>11</v>
      </c>
      <c r="E79" s="4" t="s">
        <v>12</v>
      </c>
      <c r="F79" s="5" t="s">
        <v>13</v>
      </c>
      <c r="G79" s="6" t="s">
        <v>14</v>
      </c>
      <c r="H79" s="4" t="s">
        <v>15</v>
      </c>
      <c r="I79" s="4" t="s">
        <v>16</v>
      </c>
      <c r="J79" s="4" t="s">
        <v>17</v>
      </c>
      <c r="K79" s="4" t="s">
        <v>18</v>
      </c>
      <c r="L79" s="4" t="s">
        <v>19</v>
      </c>
      <c r="M79" s="4" t="s">
        <v>20</v>
      </c>
      <c r="N79" s="4" t="s">
        <v>21</v>
      </c>
      <c r="O79" s="4" t="s">
        <v>22</v>
      </c>
      <c r="P79" s="4" t="s">
        <v>23</v>
      </c>
      <c r="Q79" s="4" t="s">
        <v>24</v>
      </c>
      <c r="R79" s="4" t="s">
        <v>25</v>
      </c>
    </row>
    <row r="80" spans="1:18" ht="49.95" customHeight="1" x14ac:dyDescent="0.3">
      <c r="A80" s="35" t="s">
        <v>36</v>
      </c>
      <c r="B80" s="35" t="s">
        <v>37</v>
      </c>
      <c r="C80" s="35">
        <v>0.86458333333333337</v>
      </c>
      <c r="D80" s="35" t="s">
        <v>28</v>
      </c>
      <c r="E80" s="35" t="s">
        <v>29</v>
      </c>
      <c r="F80" s="35" t="s">
        <v>38</v>
      </c>
      <c r="G80" s="104"/>
      <c r="H80" s="12"/>
      <c r="I80" s="13"/>
      <c r="J80" s="13"/>
      <c r="K80" s="13"/>
      <c r="L80" s="13"/>
      <c r="M80" s="13"/>
      <c r="N80" s="13"/>
      <c r="O80" s="13"/>
      <c r="P80" s="13"/>
      <c r="Q80" s="13"/>
      <c r="R80" s="14"/>
    </row>
    <row r="81" spans="1:18" ht="17.399999999999999" customHeight="1" x14ac:dyDescent="0.3">
      <c r="A81" s="129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1"/>
    </row>
    <row r="82" spans="1:18" ht="22.05" customHeight="1" x14ac:dyDescent="0.3">
      <c r="A82" s="100" t="s">
        <v>6</v>
      </c>
      <c r="B82" s="101"/>
      <c r="C82" s="101"/>
      <c r="D82" s="101"/>
      <c r="E82" s="101"/>
      <c r="F82" s="102"/>
      <c r="G82" s="3">
        <v>46000</v>
      </c>
      <c r="H82" s="100" t="s">
        <v>7</v>
      </c>
      <c r="I82" s="101"/>
      <c r="J82" s="101"/>
      <c r="K82" s="101"/>
      <c r="L82" s="101"/>
      <c r="M82" s="101"/>
      <c r="N82" s="101"/>
      <c r="O82" s="101"/>
      <c r="P82" s="101"/>
      <c r="Q82" s="101"/>
      <c r="R82" s="102"/>
    </row>
    <row r="83" spans="1:18" ht="24" customHeight="1" x14ac:dyDescent="0.3">
      <c r="A83" s="4" t="s">
        <v>8</v>
      </c>
      <c r="B83" s="4" t="s">
        <v>9</v>
      </c>
      <c r="C83" s="4" t="s">
        <v>10</v>
      </c>
      <c r="D83" s="4" t="s">
        <v>11</v>
      </c>
      <c r="E83" s="4" t="s">
        <v>12</v>
      </c>
      <c r="F83" s="5" t="s">
        <v>13</v>
      </c>
      <c r="G83" s="6" t="s">
        <v>14</v>
      </c>
      <c r="H83" s="4" t="s">
        <v>15</v>
      </c>
      <c r="I83" s="4" t="s">
        <v>16</v>
      </c>
      <c r="J83" s="4" t="s">
        <v>17</v>
      </c>
      <c r="K83" s="4" t="s">
        <v>18</v>
      </c>
      <c r="L83" s="4" t="s">
        <v>19</v>
      </c>
      <c r="M83" s="4" t="s">
        <v>20</v>
      </c>
      <c r="N83" s="4" t="s">
        <v>21</v>
      </c>
      <c r="O83" s="4" t="s">
        <v>22</v>
      </c>
      <c r="P83" s="4" t="s">
        <v>23</v>
      </c>
      <c r="Q83" s="4" t="s">
        <v>24</v>
      </c>
      <c r="R83" s="4" t="s">
        <v>25</v>
      </c>
    </row>
    <row r="84" spans="1:18" ht="49.95" customHeight="1" x14ac:dyDescent="0.3">
      <c r="A84" s="7" t="s">
        <v>26</v>
      </c>
      <c r="B84" s="7" t="s">
        <v>27</v>
      </c>
      <c r="C84" s="7">
        <v>0.93055555555555547</v>
      </c>
      <c r="D84" s="7" t="s">
        <v>28</v>
      </c>
      <c r="E84" s="7" t="s">
        <v>29</v>
      </c>
      <c r="F84" s="7" t="s">
        <v>30</v>
      </c>
      <c r="G84" s="104"/>
      <c r="H84" s="8"/>
      <c r="I84" s="9"/>
      <c r="J84" s="9"/>
      <c r="K84" s="9"/>
      <c r="L84" s="9"/>
      <c r="M84" s="9"/>
      <c r="N84" s="9"/>
      <c r="O84" s="9"/>
      <c r="P84" s="9"/>
      <c r="Q84" s="9"/>
      <c r="R84" s="10"/>
    </row>
    <row r="85" spans="1:18" ht="49.95" customHeight="1" x14ac:dyDescent="0.3">
      <c r="A85" s="11" t="s">
        <v>31</v>
      </c>
      <c r="B85" s="11" t="s">
        <v>32</v>
      </c>
      <c r="C85" s="11">
        <v>0.12847222222222221</v>
      </c>
      <c r="D85" s="11" t="s">
        <v>33</v>
      </c>
      <c r="E85" s="11" t="s">
        <v>29</v>
      </c>
      <c r="F85" s="11" t="s">
        <v>35</v>
      </c>
      <c r="G85" s="104"/>
      <c r="H85" s="12"/>
      <c r="I85" s="13"/>
      <c r="J85" s="13"/>
      <c r="K85" s="13"/>
      <c r="L85" s="13"/>
      <c r="M85" s="13"/>
      <c r="N85" s="13"/>
      <c r="O85" s="13"/>
      <c r="P85" s="13"/>
      <c r="Q85" s="13"/>
      <c r="R85" s="14"/>
    </row>
    <row r="86" spans="1:18" ht="17.399999999999999" customHeight="1" x14ac:dyDescent="0.3">
      <c r="A86" s="129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1"/>
    </row>
    <row r="87" spans="1:18" ht="22.05" customHeight="1" x14ac:dyDescent="0.3">
      <c r="A87" s="100" t="s">
        <v>6</v>
      </c>
      <c r="B87" s="101"/>
      <c r="C87" s="101"/>
      <c r="D87" s="101"/>
      <c r="E87" s="101"/>
      <c r="F87" s="102"/>
      <c r="G87" s="3">
        <v>46001</v>
      </c>
      <c r="H87" s="100" t="s">
        <v>7</v>
      </c>
      <c r="I87" s="101"/>
      <c r="J87" s="101"/>
      <c r="K87" s="101"/>
      <c r="L87" s="101"/>
      <c r="M87" s="101"/>
      <c r="N87" s="101"/>
      <c r="O87" s="101"/>
      <c r="P87" s="101"/>
      <c r="Q87" s="101"/>
      <c r="R87" s="102"/>
    </row>
    <row r="88" spans="1:18" ht="24" customHeight="1" x14ac:dyDescent="0.3">
      <c r="A88" s="4" t="s">
        <v>8</v>
      </c>
      <c r="B88" s="4" t="s">
        <v>9</v>
      </c>
      <c r="C88" s="4" t="s">
        <v>10</v>
      </c>
      <c r="D88" s="4" t="s">
        <v>11</v>
      </c>
      <c r="E88" s="4" t="s">
        <v>12</v>
      </c>
      <c r="F88" s="5" t="s">
        <v>13</v>
      </c>
      <c r="G88" s="6" t="s">
        <v>14</v>
      </c>
      <c r="H88" s="4" t="s">
        <v>15</v>
      </c>
      <c r="I88" s="4" t="s">
        <v>16</v>
      </c>
      <c r="J88" s="4" t="s">
        <v>17</v>
      </c>
      <c r="K88" s="4" t="s">
        <v>18</v>
      </c>
      <c r="L88" s="4" t="s">
        <v>19</v>
      </c>
      <c r="M88" s="4" t="s">
        <v>20</v>
      </c>
      <c r="N88" s="4" t="s">
        <v>21</v>
      </c>
      <c r="O88" s="4" t="s">
        <v>22</v>
      </c>
      <c r="P88" s="4" t="s">
        <v>23</v>
      </c>
      <c r="Q88" s="4" t="s">
        <v>24</v>
      </c>
      <c r="R88" s="4" t="s">
        <v>25</v>
      </c>
    </row>
    <row r="89" spans="1:18" ht="49.95" customHeight="1" x14ac:dyDescent="0.3">
      <c r="A89" s="48" t="s">
        <v>39</v>
      </c>
      <c r="B89" s="48" t="s">
        <v>40</v>
      </c>
      <c r="C89" s="48">
        <v>0.86458333333333337</v>
      </c>
      <c r="D89" s="48" t="s">
        <v>28</v>
      </c>
      <c r="E89" s="48" t="s">
        <v>67</v>
      </c>
      <c r="F89" s="48" t="s">
        <v>61</v>
      </c>
      <c r="G89" s="104"/>
      <c r="H89" s="49" t="s">
        <v>42</v>
      </c>
      <c r="I89" s="50">
        <v>0.23710000000000001</v>
      </c>
      <c r="J89" s="51">
        <v>23</v>
      </c>
      <c r="K89" s="52" t="s">
        <v>49</v>
      </c>
      <c r="L89" s="51">
        <v>4</v>
      </c>
      <c r="M89" s="51">
        <v>3</v>
      </c>
      <c r="N89" s="51">
        <v>0</v>
      </c>
      <c r="O89" s="52" t="s">
        <v>70</v>
      </c>
      <c r="P89" s="52">
        <v>0.86458333333333337</v>
      </c>
      <c r="Q89" s="51">
        <v>97</v>
      </c>
      <c r="R89" s="53" t="s">
        <v>71</v>
      </c>
    </row>
    <row r="90" spans="1:18" ht="49.95" customHeight="1" x14ac:dyDescent="0.3">
      <c r="A90" s="11" t="s">
        <v>36</v>
      </c>
      <c r="B90" s="11" t="s">
        <v>37</v>
      </c>
      <c r="C90" s="11">
        <v>0.90625</v>
      </c>
      <c r="D90" s="11" t="s">
        <v>28</v>
      </c>
      <c r="E90" s="11" t="s">
        <v>29</v>
      </c>
      <c r="F90" s="11" t="s">
        <v>38</v>
      </c>
      <c r="G90" s="104"/>
      <c r="H90" s="12"/>
      <c r="I90" s="13"/>
      <c r="J90" s="13"/>
      <c r="K90" s="13"/>
      <c r="L90" s="13"/>
      <c r="M90" s="13"/>
      <c r="N90" s="13"/>
      <c r="O90" s="13"/>
      <c r="P90" s="13"/>
      <c r="Q90" s="13"/>
      <c r="R90" s="14"/>
    </row>
  </sheetData>
  <mergeCells count="67">
    <mergeCell ref="A87:F87"/>
    <mergeCell ref="G89:G90"/>
    <mergeCell ref="A13:R13"/>
    <mergeCell ref="G58:G61"/>
    <mergeCell ref="K2:R2"/>
    <mergeCell ref="A40:F40"/>
    <mergeCell ref="H28:R28"/>
    <mergeCell ref="A34:R34"/>
    <mergeCell ref="G84:G85"/>
    <mergeCell ref="A48:R48"/>
    <mergeCell ref="A49:F49"/>
    <mergeCell ref="A39:R39"/>
    <mergeCell ref="G51:G54"/>
    <mergeCell ref="A77:R77"/>
    <mergeCell ref="A82:F82"/>
    <mergeCell ref="H87:R87"/>
    <mergeCell ref="A70:F70"/>
    <mergeCell ref="N1:R1"/>
    <mergeCell ref="A62:R62"/>
    <mergeCell ref="A20:R20"/>
    <mergeCell ref="A63:F63"/>
    <mergeCell ref="G65:G68"/>
    <mergeCell ref="A28:F28"/>
    <mergeCell ref="A43:R43"/>
    <mergeCell ref="G30:G33"/>
    <mergeCell ref="A44:F44"/>
    <mergeCell ref="A9:F9"/>
    <mergeCell ref="G16:G19"/>
    <mergeCell ref="G46:G47"/>
    <mergeCell ref="G11:G12"/>
    <mergeCell ref="G6:G7"/>
    <mergeCell ref="A76:R76"/>
    <mergeCell ref="G37:G38"/>
    <mergeCell ref="G2:J2"/>
    <mergeCell ref="A35:F35"/>
    <mergeCell ref="A4:F4"/>
    <mergeCell ref="H49:R49"/>
    <mergeCell ref="H14:R14"/>
    <mergeCell ref="A8:R8"/>
    <mergeCell ref="G42"/>
    <mergeCell ref="H70:R70"/>
    <mergeCell ref="G72:G75"/>
    <mergeCell ref="H9:R9"/>
    <mergeCell ref="A55:R55"/>
    <mergeCell ref="H56:R56"/>
    <mergeCell ref="A86:R86"/>
    <mergeCell ref="A14:F14"/>
    <mergeCell ref="H21:R21"/>
    <mergeCell ref="G80"/>
    <mergeCell ref="A81:R81"/>
    <mergeCell ref="A78:F78"/>
    <mergeCell ref="A69:R69"/>
    <mergeCell ref="H35:R35"/>
    <mergeCell ref="H82:R82"/>
    <mergeCell ref="H78:R78"/>
    <mergeCell ref="H1:L1"/>
    <mergeCell ref="A1:E1"/>
    <mergeCell ref="A56:F56"/>
    <mergeCell ref="H63:R63"/>
    <mergeCell ref="A27:R27"/>
    <mergeCell ref="A21:F21"/>
    <mergeCell ref="H4:R4"/>
    <mergeCell ref="G23:G26"/>
    <mergeCell ref="H44:R44"/>
    <mergeCell ref="H40:R40"/>
    <mergeCell ref="A2:F2"/>
    <mergeCell ref="A3:R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"/>
  <sheetViews>
    <sheetView workbookViewId="0"/>
  </sheetViews>
  <sheetFormatPr defaultRowHeight="15.6" outlineLevelCol="1" x14ac:dyDescent="0.3"/>
  <cols>
    <col min="1" max="1" width="11.5546875" style="116" bestFit="1" customWidth="1"/>
    <col min="2" max="2" width="10.44140625" style="116" bestFit="1" customWidth="1"/>
    <col min="3" max="3" width="6.77734375" style="116" bestFit="1" customWidth="1"/>
    <col min="4" max="4" width="5.5546875" style="116" bestFit="1" customWidth="1"/>
    <col min="5" max="5" width="8.33203125" style="116" bestFit="1" customWidth="1"/>
    <col min="6" max="6" width="4.21875" style="116" bestFit="1" customWidth="1"/>
    <col min="7" max="7" width="10" style="116" bestFit="1" customWidth="1"/>
    <col min="8" max="10" width="7" style="116" bestFit="1" customWidth="1"/>
    <col min="11" max="11" width="10.5546875" style="116" bestFit="1" customWidth="1"/>
    <col min="12" max="12" width="18.109375" style="116" bestFit="1" customWidth="1"/>
    <col min="13" max="13" width="7.6640625" style="116" bestFit="1" customWidth="1" outlineLevel="1"/>
    <col min="14" max="14" width="6.33203125" style="116" bestFit="1" customWidth="1" outlineLevel="1"/>
    <col min="15" max="15" width="8" style="116" bestFit="1" customWidth="1" outlineLevel="1"/>
    <col min="16" max="16" width="13.6640625" style="116" bestFit="1" customWidth="1"/>
    <col min="17" max="30" width="3.88671875" style="116" bestFit="1" customWidth="1"/>
    <col min="31" max="31" width="4.5546875" style="116" bestFit="1" customWidth="1"/>
    <col min="32" max="36" width="3.88671875" style="116" bestFit="1" customWidth="1"/>
    <col min="37" max="16384" width="8.88671875" style="116"/>
  </cols>
  <sheetData>
    <row r="1" spans="1:36" x14ac:dyDescent="0.3">
      <c r="A1" s="115" t="s">
        <v>72</v>
      </c>
      <c r="B1" s="115" t="s">
        <v>73</v>
      </c>
      <c r="C1" s="115" t="s">
        <v>74</v>
      </c>
      <c r="D1" s="115" t="s">
        <v>23</v>
      </c>
      <c r="E1" s="115" t="s">
        <v>75</v>
      </c>
      <c r="F1" s="115" t="s">
        <v>76</v>
      </c>
      <c r="G1" s="115" t="s">
        <v>16</v>
      </c>
      <c r="H1" s="115" t="s">
        <v>77</v>
      </c>
      <c r="I1" s="115" t="s">
        <v>78</v>
      </c>
      <c r="J1" s="115" t="s">
        <v>79</v>
      </c>
      <c r="K1" s="115" t="s">
        <v>80</v>
      </c>
      <c r="L1" s="115" t="s">
        <v>18</v>
      </c>
      <c r="M1" s="115" t="s">
        <v>20</v>
      </c>
      <c r="N1" s="115" t="s">
        <v>21</v>
      </c>
      <c r="O1" s="115" t="s">
        <v>19</v>
      </c>
      <c r="P1" s="115" t="s">
        <v>22</v>
      </c>
      <c r="Q1" s="115" t="s">
        <v>81</v>
      </c>
      <c r="R1" s="115" t="s">
        <v>82</v>
      </c>
      <c r="S1" s="115" t="s">
        <v>83</v>
      </c>
      <c r="T1" s="115" t="s">
        <v>84</v>
      </c>
      <c r="U1" s="115" t="s">
        <v>85</v>
      </c>
      <c r="V1" s="115" t="s">
        <v>86</v>
      </c>
      <c r="W1" s="115" t="s">
        <v>87</v>
      </c>
      <c r="X1" s="115" t="s">
        <v>88</v>
      </c>
      <c r="Y1" s="115" t="s">
        <v>89</v>
      </c>
      <c r="Z1" s="115" t="s">
        <v>90</v>
      </c>
      <c r="AA1" s="115" t="s">
        <v>91</v>
      </c>
      <c r="AB1" s="115" t="s">
        <v>92</v>
      </c>
      <c r="AC1" s="115" t="s">
        <v>93</v>
      </c>
      <c r="AD1" s="115" t="s">
        <v>94</v>
      </c>
      <c r="AE1" s="115" t="s">
        <v>95</v>
      </c>
      <c r="AF1" s="115" t="s">
        <v>96</v>
      </c>
      <c r="AG1" s="115" t="s">
        <v>97</v>
      </c>
      <c r="AH1" s="115" t="s">
        <v>98</v>
      </c>
      <c r="AI1" s="115" t="s">
        <v>99</v>
      </c>
      <c r="AJ1" s="115" t="s">
        <v>100</v>
      </c>
    </row>
    <row r="2" spans="1:36" x14ac:dyDescent="0.3">
      <c r="A2" s="117" t="s">
        <v>101</v>
      </c>
      <c r="B2" s="118">
        <v>45987</v>
      </c>
      <c r="C2" s="119" t="s">
        <v>42</v>
      </c>
      <c r="D2" s="120" t="s">
        <v>102</v>
      </c>
      <c r="E2" s="119" t="s">
        <v>1</v>
      </c>
      <c r="F2" s="119" t="s">
        <v>103</v>
      </c>
      <c r="G2" s="121">
        <v>0.17860000000000001</v>
      </c>
      <c r="H2" s="122">
        <v>168</v>
      </c>
      <c r="I2" s="122">
        <v>30</v>
      </c>
      <c r="J2" s="122">
        <v>0</v>
      </c>
      <c r="K2" s="119" t="s">
        <v>104</v>
      </c>
      <c r="L2" s="123" t="s">
        <v>43</v>
      </c>
      <c r="M2" s="122">
        <v>0</v>
      </c>
      <c r="N2" s="122">
        <v>6</v>
      </c>
      <c r="O2" s="122">
        <v>10</v>
      </c>
      <c r="P2" s="119" t="s">
        <v>44</v>
      </c>
      <c r="Q2" s="115"/>
      <c r="R2" s="115"/>
      <c r="S2" s="115"/>
      <c r="T2" s="115"/>
      <c r="U2" s="115"/>
      <c r="V2" s="115"/>
      <c r="W2" s="115"/>
      <c r="X2" s="115"/>
      <c r="Y2" s="122" t="s">
        <v>105</v>
      </c>
      <c r="Z2" s="115"/>
      <c r="AA2" s="115"/>
      <c r="AB2" s="115"/>
      <c r="AC2" s="115"/>
      <c r="AD2" s="115"/>
      <c r="AE2" s="122" t="s">
        <v>106</v>
      </c>
      <c r="AF2" s="122" t="s">
        <v>107</v>
      </c>
      <c r="AG2" s="115"/>
      <c r="AH2" s="115"/>
      <c r="AI2" s="115"/>
      <c r="AJ2" s="115"/>
    </row>
    <row r="3" spans="1:36" x14ac:dyDescent="0.3">
      <c r="A3" s="117" t="s">
        <v>108</v>
      </c>
      <c r="B3" s="118">
        <v>45988</v>
      </c>
      <c r="C3" s="119" t="s">
        <v>42</v>
      </c>
      <c r="D3" s="120" t="s">
        <v>102</v>
      </c>
      <c r="E3" s="119" t="s">
        <v>1</v>
      </c>
      <c r="F3" s="119" t="s">
        <v>103</v>
      </c>
      <c r="G3" s="121">
        <v>0.3095</v>
      </c>
      <c r="H3" s="122">
        <v>168</v>
      </c>
      <c r="I3" s="122">
        <v>52</v>
      </c>
      <c r="J3" s="122">
        <v>0</v>
      </c>
      <c r="K3" s="119" t="s">
        <v>104</v>
      </c>
      <c r="L3" s="123" t="s">
        <v>49</v>
      </c>
      <c r="M3" s="122">
        <v>2</v>
      </c>
      <c r="N3" s="122">
        <v>1</v>
      </c>
      <c r="O3" s="122">
        <v>16</v>
      </c>
      <c r="P3" s="119" t="s">
        <v>44</v>
      </c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22" t="s">
        <v>109</v>
      </c>
      <c r="AD3" s="122" t="s">
        <v>110</v>
      </c>
      <c r="AE3" s="122" t="s">
        <v>111</v>
      </c>
      <c r="AF3" s="122" t="s">
        <v>107</v>
      </c>
      <c r="AG3" s="115"/>
      <c r="AH3" s="115"/>
      <c r="AI3" s="115"/>
      <c r="AJ3" s="115"/>
    </row>
    <row r="4" spans="1:36" x14ac:dyDescent="0.3">
      <c r="A4" s="117" t="s">
        <v>112</v>
      </c>
      <c r="B4" s="118">
        <v>45990</v>
      </c>
      <c r="C4" s="119" t="s">
        <v>42</v>
      </c>
      <c r="D4" s="120" t="s">
        <v>113</v>
      </c>
      <c r="E4" s="119" t="s">
        <v>1</v>
      </c>
      <c r="F4" s="119" t="s">
        <v>103</v>
      </c>
      <c r="G4" s="121">
        <v>0.16070000000000001</v>
      </c>
      <c r="H4" s="122">
        <v>168</v>
      </c>
      <c r="I4" s="122">
        <v>27</v>
      </c>
      <c r="J4" s="122">
        <v>0</v>
      </c>
      <c r="K4" s="119" t="s">
        <v>104</v>
      </c>
      <c r="L4" s="123" t="s">
        <v>43</v>
      </c>
      <c r="M4" s="122">
        <v>0</v>
      </c>
      <c r="N4" s="122">
        <v>4</v>
      </c>
      <c r="O4" s="122">
        <v>12</v>
      </c>
      <c r="P4" s="119" t="s">
        <v>44</v>
      </c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22" t="s">
        <v>114</v>
      </c>
      <c r="AF4" s="122" t="s">
        <v>115</v>
      </c>
      <c r="AG4" s="115"/>
      <c r="AH4" s="115"/>
      <c r="AI4" s="115"/>
      <c r="AJ4" s="115"/>
    </row>
    <row r="5" spans="1:36" x14ac:dyDescent="0.3">
      <c r="A5" s="117" t="s">
        <v>101</v>
      </c>
      <c r="B5" s="118">
        <v>45994</v>
      </c>
      <c r="C5" s="119" t="s">
        <v>42</v>
      </c>
      <c r="D5" s="120" t="s">
        <v>102</v>
      </c>
      <c r="E5" s="119" t="s">
        <v>1</v>
      </c>
      <c r="F5" s="119" t="s">
        <v>116</v>
      </c>
      <c r="G5" s="121">
        <v>0.41239999999999999</v>
      </c>
      <c r="H5" s="122">
        <v>97</v>
      </c>
      <c r="I5" s="122">
        <v>40</v>
      </c>
      <c r="J5" s="122">
        <v>0</v>
      </c>
      <c r="K5" s="119" t="s">
        <v>104</v>
      </c>
      <c r="L5" s="123" t="s">
        <v>63</v>
      </c>
      <c r="M5" s="122">
        <v>0</v>
      </c>
      <c r="N5" s="122">
        <v>0</v>
      </c>
      <c r="O5" s="122">
        <v>3</v>
      </c>
      <c r="P5" s="119" t="s">
        <v>44</v>
      </c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22" t="s">
        <v>117</v>
      </c>
      <c r="AF5" s="122" t="s">
        <v>118</v>
      </c>
      <c r="AG5" s="115"/>
      <c r="AH5" s="115"/>
      <c r="AI5" s="115"/>
      <c r="AJ5" s="115"/>
    </row>
    <row r="6" spans="1:36" x14ac:dyDescent="0.3">
      <c r="A6" s="117" t="s">
        <v>108</v>
      </c>
      <c r="B6" s="118">
        <v>45995</v>
      </c>
      <c r="C6" s="119" t="s">
        <v>42</v>
      </c>
      <c r="D6" s="120" t="s">
        <v>102</v>
      </c>
      <c r="E6" s="119" t="s">
        <v>1</v>
      </c>
      <c r="F6" s="119" t="s">
        <v>103</v>
      </c>
      <c r="G6" s="121">
        <v>0.34520000000000001</v>
      </c>
      <c r="H6" s="122">
        <v>168</v>
      </c>
      <c r="I6" s="122">
        <v>58</v>
      </c>
      <c r="J6" s="122">
        <v>0</v>
      </c>
      <c r="K6" s="119" t="s">
        <v>104</v>
      </c>
      <c r="L6" s="123" t="s">
        <v>49</v>
      </c>
      <c r="M6" s="122">
        <v>2</v>
      </c>
      <c r="N6" s="122">
        <v>3</v>
      </c>
      <c r="O6" s="122">
        <v>11</v>
      </c>
      <c r="P6" s="119" t="s">
        <v>44</v>
      </c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22" t="s">
        <v>119</v>
      </c>
      <c r="AF6" s="122" t="s">
        <v>120</v>
      </c>
      <c r="AG6" s="115"/>
      <c r="AH6" s="115"/>
      <c r="AI6" s="115"/>
      <c r="AJ6" s="115"/>
    </row>
    <row r="7" spans="1:36" x14ac:dyDescent="0.3">
      <c r="A7" s="117" t="s">
        <v>112</v>
      </c>
      <c r="B7" s="118">
        <v>45997</v>
      </c>
      <c r="C7" s="119" t="s">
        <v>42</v>
      </c>
      <c r="D7" s="120" t="s">
        <v>113</v>
      </c>
      <c r="E7" s="119" t="s">
        <v>1</v>
      </c>
      <c r="F7" s="119" t="s">
        <v>116</v>
      </c>
      <c r="G7" s="121">
        <v>1.03E-2</v>
      </c>
      <c r="H7" s="122">
        <v>97</v>
      </c>
      <c r="I7" s="122">
        <v>1</v>
      </c>
      <c r="J7" s="122">
        <v>0</v>
      </c>
      <c r="K7" s="119" t="s">
        <v>104</v>
      </c>
      <c r="L7" s="123" t="s">
        <v>68</v>
      </c>
      <c r="M7" s="122">
        <v>0</v>
      </c>
      <c r="N7" s="122">
        <v>0</v>
      </c>
      <c r="O7" s="122">
        <v>0</v>
      </c>
      <c r="P7" s="119" t="s">
        <v>44</v>
      </c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22" t="s">
        <v>69</v>
      </c>
      <c r="AF7" s="115"/>
      <c r="AG7" s="115"/>
      <c r="AH7" s="115"/>
      <c r="AI7" s="115"/>
      <c r="AJ7" s="115"/>
    </row>
    <row r="8" spans="1:36" x14ac:dyDescent="0.3">
      <c r="A8" s="117" t="s">
        <v>101</v>
      </c>
      <c r="B8" s="118">
        <v>46001</v>
      </c>
      <c r="C8" s="119" t="s">
        <v>42</v>
      </c>
      <c r="D8" s="120" t="s">
        <v>102</v>
      </c>
      <c r="E8" s="119" t="s">
        <v>1</v>
      </c>
      <c r="F8" s="119" t="s">
        <v>116</v>
      </c>
      <c r="G8" s="121">
        <v>0.23710000000000001</v>
      </c>
      <c r="H8" s="122">
        <v>97</v>
      </c>
      <c r="I8" s="122">
        <v>23</v>
      </c>
      <c r="J8" s="122">
        <v>0</v>
      </c>
      <c r="K8" s="119" t="s">
        <v>104</v>
      </c>
      <c r="L8" s="123" t="s">
        <v>49</v>
      </c>
      <c r="M8" s="122">
        <v>3</v>
      </c>
      <c r="N8" s="122">
        <v>0</v>
      </c>
      <c r="O8" s="122">
        <v>4</v>
      </c>
      <c r="P8" s="119" t="s">
        <v>70</v>
      </c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22" t="s">
        <v>121</v>
      </c>
      <c r="AF8" s="122" t="s">
        <v>107</v>
      </c>
      <c r="AG8" s="115"/>
      <c r="AH8" s="115"/>
      <c r="AI8" s="115"/>
      <c r="AJ8" s="115"/>
    </row>
    <row r="9" spans="1:36" ht="21" x14ac:dyDescent="0.3">
      <c r="A9" s="124" t="s">
        <v>152</v>
      </c>
      <c r="B9" s="125"/>
      <c r="C9" s="124">
        <f>SUBTOTAL(103,TUU_CAI_LF_LEGACY[Flt])</f>
        <v>7</v>
      </c>
      <c r="D9" s="124"/>
      <c r="E9" s="124">
        <f>SUBTOTAL(103,TUU_CAI_LF_LEGACY[Brd-Off])</f>
        <v>7</v>
      </c>
      <c r="F9" s="124"/>
      <c r="G9" s="126">
        <f>SUBTOTAL(101,TUU_CAI_LF_LEGACY[LF%])</f>
        <v>0.23625714285714286</v>
      </c>
      <c r="H9" s="127">
        <f>SUBTOTAL(109,TUU_CAI_LF_LEGACY[CAP])</f>
        <v>963</v>
      </c>
      <c r="I9" s="127">
        <f>SUBTOTAL(109,TUU_CAI_LF_LEGACY[BKG(Y)])</f>
        <v>231</v>
      </c>
      <c r="J9" s="127">
        <f>SUBTOTAL(109,TUU_CAI_LF_LEGACY[GRP(Y)])</f>
        <v>0</v>
      </c>
      <c r="K9" s="124"/>
      <c r="L9" s="125"/>
      <c r="M9" s="127">
        <f>SUBTOTAL(109,TUU_CAI_LF_LEGACY[TO-DAY])</f>
        <v>7</v>
      </c>
      <c r="N9" s="127">
        <f>SUBTOTAL(109,TUU_CAI_LF_LEGACY[Y-DAY])</f>
        <v>14</v>
      </c>
      <c r="O9" s="127">
        <f>SUBTOTAL(109,TUU_CAI_LF_LEGACY[WEEKLY])</f>
        <v>56</v>
      </c>
      <c r="P9" s="128"/>
      <c r="Q9" s="127">
        <f>SUBTOTAL(109,TUU_CAI_LF_LEGACY[Y])</f>
        <v>0</v>
      </c>
      <c r="R9" s="127">
        <f>SUBTOTAL(109,TUU_CAI_LF_LEGACY[B])</f>
        <v>0</v>
      </c>
      <c r="S9" s="127">
        <f>SUBTOTAL(109,TUU_CAI_LF_LEGACY[M])</f>
        <v>0</v>
      </c>
      <c r="T9" s="127">
        <f>SUBTOTAL(109,TUU_CAI_LF_LEGACY[H])</f>
        <v>0</v>
      </c>
      <c r="U9" s="127">
        <f>SUBTOTAL(109,TUU_CAI_LF_LEGACY[Q])</f>
        <v>0</v>
      </c>
      <c r="V9" s="127">
        <f>SUBTOTAL(109,TUU_CAI_LF_LEGACY[K])</f>
        <v>0</v>
      </c>
      <c r="W9" s="127">
        <f>SUBTOTAL(109,TUU_CAI_LF_LEGACY[V])</f>
        <v>0</v>
      </c>
      <c r="X9" s="127">
        <f>SUBTOTAL(109,TUU_CAI_LF_LEGACY[L])</f>
        <v>0</v>
      </c>
      <c r="Y9" s="127">
        <f>SUBTOTAL(109,TUU_CAI_LF_LEGACY[G])</f>
        <v>0</v>
      </c>
      <c r="Z9" s="127">
        <f>SUBTOTAL(109,TUU_CAI_LF_LEGACY[S])</f>
        <v>0</v>
      </c>
      <c r="AA9" s="127">
        <f>SUBTOTAL(109,TUU_CAI_LF_LEGACY[W])</f>
        <v>0</v>
      </c>
      <c r="AB9" s="127">
        <f>SUBTOTAL(109,TUU_CAI_LF_LEGACY[T])</f>
        <v>0</v>
      </c>
      <c r="AC9" s="127">
        <f>SUBTOTAL(109,TUU_CAI_LF_LEGACY[X])</f>
        <v>0</v>
      </c>
      <c r="AD9" s="127">
        <f>SUBTOTAL(109,TUU_CAI_LF_LEGACY[U])</f>
        <v>0</v>
      </c>
      <c r="AE9" s="127">
        <f>SUBTOTAL(109,TUU_CAI_LF_LEGACY[O])</f>
        <v>0</v>
      </c>
      <c r="AF9" s="127">
        <f>SUBTOTAL(109,TUU_CAI_LF_LEGACY[I])</f>
        <v>0</v>
      </c>
      <c r="AG9" s="127">
        <f>SUBTOTAL(109,TUU_CAI_LF_LEGACY[E])</f>
        <v>0</v>
      </c>
      <c r="AH9" s="127">
        <f>SUBTOTAL(109,TUU_CAI_LF_LEGACY[A])</f>
        <v>0</v>
      </c>
      <c r="AI9" s="127">
        <f>SUBTOTAL(109,TUU_CAI_LF_LEGACY[P])</f>
        <v>0</v>
      </c>
      <c r="AJ9" s="127">
        <f>SUBTOTAL(103,TUU_CAI_LF_LEGACY[N])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65.77734375" hidden="1" customWidth="1"/>
  </cols>
  <sheetData>
    <row r="1" spans="1:8" ht="18" x14ac:dyDescent="0.3">
      <c r="A1" s="55" t="s">
        <v>122</v>
      </c>
      <c r="B1" s="56" t="s">
        <v>8</v>
      </c>
      <c r="C1" s="56" t="s">
        <v>9</v>
      </c>
      <c r="D1" s="56" t="s">
        <v>123</v>
      </c>
      <c r="E1" s="56" t="s">
        <v>10</v>
      </c>
      <c r="F1" s="56" t="s">
        <v>11</v>
      </c>
      <c r="G1" s="56" t="s">
        <v>12</v>
      </c>
      <c r="H1" s="57" t="s">
        <v>13</v>
      </c>
    </row>
    <row r="2" spans="1:8" ht="19.8" customHeight="1" x14ac:dyDescent="0.3">
      <c r="A2" s="58" t="s">
        <v>124</v>
      </c>
      <c r="B2" s="59" t="s">
        <v>26</v>
      </c>
      <c r="C2" s="60" t="s">
        <v>27</v>
      </c>
      <c r="D2" s="59" t="s">
        <v>1</v>
      </c>
      <c r="E2" s="59" t="s">
        <v>125</v>
      </c>
      <c r="F2" s="59" t="s">
        <v>28</v>
      </c>
      <c r="G2" s="61">
        <v>9</v>
      </c>
      <c r="H2" s="62">
        <v>320</v>
      </c>
    </row>
    <row r="3" spans="1:8" ht="19.8" customHeight="1" x14ac:dyDescent="0.3">
      <c r="A3" s="63" t="s">
        <v>124</v>
      </c>
      <c r="B3" s="64" t="s">
        <v>31</v>
      </c>
      <c r="C3" s="65" t="s">
        <v>32</v>
      </c>
      <c r="D3" s="64" t="s">
        <v>1</v>
      </c>
      <c r="E3" s="64" t="s">
        <v>126</v>
      </c>
      <c r="F3" s="64" t="s">
        <v>33</v>
      </c>
      <c r="G3" s="66">
        <v>6</v>
      </c>
      <c r="H3" s="67">
        <v>344</v>
      </c>
    </row>
    <row r="4" spans="1:8" ht="19.8" customHeight="1" x14ac:dyDescent="0.3">
      <c r="A4" s="58" t="s">
        <v>127</v>
      </c>
      <c r="B4" s="59" t="s">
        <v>36</v>
      </c>
      <c r="C4" s="60" t="s">
        <v>37</v>
      </c>
      <c r="D4" s="59" t="s">
        <v>1</v>
      </c>
      <c r="E4" s="59" t="s">
        <v>128</v>
      </c>
      <c r="F4" s="59" t="s">
        <v>28</v>
      </c>
      <c r="G4" s="61">
        <v>9</v>
      </c>
      <c r="H4" s="62">
        <v>355</v>
      </c>
    </row>
    <row r="5" spans="1:8" ht="19.8" customHeight="1" x14ac:dyDescent="0.3">
      <c r="A5" s="68" t="s">
        <v>127</v>
      </c>
      <c r="B5" s="69" t="s">
        <v>39</v>
      </c>
      <c r="C5" s="70" t="s">
        <v>40</v>
      </c>
      <c r="D5" s="69" t="s">
        <v>1</v>
      </c>
      <c r="E5" s="69" t="s">
        <v>102</v>
      </c>
      <c r="F5" s="69" t="s">
        <v>28</v>
      </c>
      <c r="G5" s="71">
        <v>9</v>
      </c>
      <c r="H5" s="72">
        <v>385</v>
      </c>
    </row>
    <row r="6" spans="1:8" ht="19.8" customHeight="1" x14ac:dyDescent="0.3">
      <c r="A6" s="73">
        <v>45988</v>
      </c>
      <c r="B6" s="59" t="s">
        <v>26</v>
      </c>
      <c r="C6" s="60" t="s">
        <v>27</v>
      </c>
      <c r="D6" s="59" t="s">
        <v>1</v>
      </c>
      <c r="E6" s="74">
        <v>1.9548611111111109</v>
      </c>
      <c r="F6" s="59" t="s">
        <v>28</v>
      </c>
      <c r="G6" s="61">
        <v>1</v>
      </c>
      <c r="H6" s="62">
        <v>320</v>
      </c>
    </row>
    <row r="7" spans="1:8" ht="19.8" customHeight="1" x14ac:dyDescent="0.3">
      <c r="A7" s="73">
        <v>45988</v>
      </c>
      <c r="B7" s="59" t="s">
        <v>31</v>
      </c>
      <c r="C7" s="60" t="s">
        <v>32</v>
      </c>
      <c r="D7" s="59" t="s">
        <v>1</v>
      </c>
      <c r="E7" s="74">
        <v>1.1284722222222221</v>
      </c>
      <c r="F7" s="59" t="s">
        <v>33</v>
      </c>
      <c r="G7" s="61">
        <v>9</v>
      </c>
      <c r="H7" s="62">
        <v>344</v>
      </c>
    </row>
    <row r="8" spans="1:8" ht="19.8" customHeight="1" x14ac:dyDescent="0.3">
      <c r="A8" s="73">
        <v>45988</v>
      </c>
      <c r="B8" s="59" t="s">
        <v>36</v>
      </c>
      <c r="C8" s="60" t="s">
        <v>47</v>
      </c>
      <c r="D8" s="59" t="s">
        <v>1</v>
      </c>
      <c r="E8" s="74">
        <v>1.90625</v>
      </c>
      <c r="F8" s="59" t="s">
        <v>28</v>
      </c>
      <c r="G8" s="61">
        <v>6</v>
      </c>
      <c r="H8" s="62">
        <v>355</v>
      </c>
    </row>
    <row r="9" spans="1:8" ht="19.8" customHeight="1" x14ac:dyDescent="0.3">
      <c r="A9" s="75">
        <v>45988</v>
      </c>
      <c r="B9" s="69" t="s">
        <v>39</v>
      </c>
      <c r="C9" s="70" t="s">
        <v>40</v>
      </c>
      <c r="D9" s="69" t="s">
        <v>1</v>
      </c>
      <c r="E9" s="76">
        <v>1.864583333333333</v>
      </c>
      <c r="F9" s="69" t="s">
        <v>28</v>
      </c>
      <c r="G9" s="71">
        <v>9</v>
      </c>
      <c r="H9" s="72">
        <v>400</v>
      </c>
    </row>
    <row r="10" spans="1:8" ht="19.8" customHeight="1" x14ac:dyDescent="0.3">
      <c r="A10" s="73">
        <v>45989</v>
      </c>
      <c r="B10" s="59" t="s">
        <v>51</v>
      </c>
      <c r="C10" s="60" t="s">
        <v>52</v>
      </c>
      <c r="D10" s="59" t="s">
        <v>1</v>
      </c>
      <c r="E10" s="74">
        <v>1.635416666666667</v>
      </c>
      <c r="F10" s="59" t="s">
        <v>53</v>
      </c>
      <c r="G10" s="61">
        <v>9</v>
      </c>
      <c r="H10" s="62">
        <v>325</v>
      </c>
    </row>
    <row r="11" spans="1:8" ht="19.8" customHeight="1" x14ac:dyDescent="0.3">
      <c r="A11" s="73">
        <v>45989</v>
      </c>
      <c r="B11" s="59" t="s">
        <v>31</v>
      </c>
      <c r="C11" s="60" t="s">
        <v>32</v>
      </c>
      <c r="D11" s="59" t="s">
        <v>1</v>
      </c>
      <c r="E11" s="74">
        <v>1.1284722222222221</v>
      </c>
      <c r="F11" s="59" t="s">
        <v>33</v>
      </c>
      <c r="G11" s="61">
        <v>9</v>
      </c>
      <c r="H11" s="62">
        <v>344</v>
      </c>
    </row>
    <row r="12" spans="1:8" ht="19.8" customHeight="1" x14ac:dyDescent="0.3">
      <c r="A12" s="73">
        <v>45989</v>
      </c>
      <c r="B12" s="59" t="s">
        <v>36</v>
      </c>
      <c r="C12" s="60" t="s">
        <v>37</v>
      </c>
      <c r="D12" s="59" t="s">
        <v>1</v>
      </c>
      <c r="E12" s="74">
        <v>1.90625</v>
      </c>
      <c r="F12" s="59" t="s">
        <v>28</v>
      </c>
      <c r="G12" s="61">
        <v>9</v>
      </c>
      <c r="H12" s="62">
        <v>355</v>
      </c>
    </row>
    <row r="13" spans="1:8" ht="19.8" customHeight="1" x14ac:dyDescent="0.3">
      <c r="A13" s="77">
        <v>45989</v>
      </c>
      <c r="B13" s="64" t="s">
        <v>51</v>
      </c>
      <c r="C13" s="65" t="s">
        <v>52</v>
      </c>
      <c r="D13" s="64" t="s">
        <v>1</v>
      </c>
      <c r="E13" s="78">
        <v>1.635416666666667</v>
      </c>
      <c r="F13" s="64" t="s">
        <v>56</v>
      </c>
      <c r="G13" s="66">
        <v>9</v>
      </c>
      <c r="H13" s="67">
        <v>448</v>
      </c>
    </row>
    <row r="14" spans="1:8" ht="19.8" customHeight="1" x14ac:dyDescent="0.3">
      <c r="A14" s="73">
        <v>45990</v>
      </c>
      <c r="B14" s="59" t="s">
        <v>26</v>
      </c>
      <c r="C14" s="60" t="s">
        <v>27</v>
      </c>
      <c r="D14" s="59" t="s">
        <v>1</v>
      </c>
      <c r="E14" s="74">
        <v>1.1701388888888891</v>
      </c>
      <c r="F14" s="59" t="s">
        <v>28</v>
      </c>
      <c r="G14" s="61">
        <v>1</v>
      </c>
      <c r="H14" s="62">
        <v>320</v>
      </c>
    </row>
    <row r="15" spans="1:8" ht="19.8" customHeight="1" x14ac:dyDescent="0.3">
      <c r="A15" s="73">
        <v>45990</v>
      </c>
      <c r="B15" s="59" t="s">
        <v>31</v>
      </c>
      <c r="C15" s="60" t="s">
        <v>32</v>
      </c>
      <c r="D15" s="59" t="s">
        <v>1</v>
      </c>
      <c r="E15" s="74">
        <v>1.1284722222222221</v>
      </c>
      <c r="F15" s="59" t="s">
        <v>33</v>
      </c>
      <c r="G15" s="61">
        <v>9</v>
      </c>
      <c r="H15" s="62">
        <v>344</v>
      </c>
    </row>
    <row r="16" spans="1:8" ht="19.8" customHeight="1" x14ac:dyDescent="0.3">
      <c r="A16" s="73">
        <v>45990</v>
      </c>
      <c r="B16" s="59" t="s">
        <v>36</v>
      </c>
      <c r="C16" s="60" t="s">
        <v>47</v>
      </c>
      <c r="D16" s="59" t="s">
        <v>1</v>
      </c>
      <c r="E16" s="74">
        <v>1.90625</v>
      </c>
      <c r="F16" s="59" t="s">
        <v>28</v>
      </c>
      <c r="G16" s="61">
        <v>6</v>
      </c>
      <c r="H16" s="62">
        <v>355</v>
      </c>
    </row>
    <row r="17" spans="1:8" ht="19.8" customHeight="1" x14ac:dyDescent="0.3">
      <c r="A17" s="75">
        <v>45990</v>
      </c>
      <c r="B17" s="69" t="s">
        <v>39</v>
      </c>
      <c r="C17" s="70" t="s">
        <v>40</v>
      </c>
      <c r="D17" s="69" t="s">
        <v>1</v>
      </c>
      <c r="E17" s="76">
        <v>1.989583333333333</v>
      </c>
      <c r="F17" s="69" t="s">
        <v>28</v>
      </c>
      <c r="G17" s="71">
        <v>9</v>
      </c>
      <c r="H17" s="72">
        <v>400</v>
      </c>
    </row>
    <row r="18" spans="1:8" ht="19.8" customHeight="1" x14ac:dyDescent="0.3">
      <c r="A18" s="73">
        <v>45991</v>
      </c>
      <c r="B18" s="59" t="s">
        <v>26</v>
      </c>
      <c r="C18" s="60" t="s">
        <v>27</v>
      </c>
      <c r="D18" s="59" t="s">
        <v>1</v>
      </c>
      <c r="E18" s="74">
        <v>1.864583333333333</v>
      </c>
      <c r="F18" s="59" t="s">
        <v>28</v>
      </c>
      <c r="G18" s="61">
        <v>1</v>
      </c>
      <c r="H18" s="62">
        <v>320</v>
      </c>
    </row>
    <row r="19" spans="1:8" ht="19.8" customHeight="1" x14ac:dyDescent="0.3">
      <c r="A19" s="77">
        <v>45991</v>
      </c>
      <c r="B19" s="64" t="s">
        <v>36</v>
      </c>
      <c r="C19" s="65" t="s">
        <v>60</v>
      </c>
      <c r="D19" s="64" t="s">
        <v>1</v>
      </c>
      <c r="E19" s="78">
        <v>1.90625</v>
      </c>
      <c r="F19" s="64" t="s">
        <v>28</v>
      </c>
      <c r="G19" s="66">
        <v>9</v>
      </c>
      <c r="H19" s="67">
        <v>355</v>
      </c>
    </row>
    <row r="20" spans="1:8" ht="19.8" customHeight="1" x14ac:dyDescent="0.3">
      <c r="A20" s="77">
        <v>45992</v>
      </c>
      <c r="B20" s="64" t="s">
        <v>36</v>
      </c>
      <c r="C20" s="65" t="s">
        <v>37</v>
      </c>
      <c r="D20" s="64" t="s">
        <v>1</v>
      </c>
      <c r="E20" s="78">
        <v>1.864583333333333</v>
      </c>
      <c r="F20" s="64" t="s">
        <v>28</v>
      </c>
      <c r="G20" s="66">
        <v>6</v>
      </c>
      <c r="H20" s="67">
        <v>355</v>
      </c>
    </row>
    <row r="21" spans="1:8" ht="19.8" customHeight="1" x14ac:dyDescent="0.3">
      <c r="A21" s="73">
        <v>45993</v>
      </c>
      <c r="B21" s="59" t="s">
        <v>31</v>
      </c>
      <c r="C21" s="60" t="s">
        <v>32</v>
      </c>
      <c r="D21" s="59" t="s">
        <v>1</v>
      </c>
      <c r="E21" s="74">
        <v>1.1284722222222221</v>
      </c>
      <c r="F21" s="59" t="s">
        <v>33</v>
      </c>
      <c r="G21" s="61">
        <v>9</v>
      </c>
      <c r="H21" s="62">
        <v>344</v>
      </c>
    </row>
    <row r="22" spans="1:8" ht="19.8" customHeight="1" x14ac:dyDescent="0.3">
      <c r="A22" s="77">
        <v>45993</v>
      </c>
      <c r="B22" s="64" t="s">
        <v>26</v>
      </c>
      <c r="C22" s="65" t="s">
        <v>27</v>
      </c>
      <c r="D22" s="64" t="s">
        <v>1</v>
      </c>
      <c r="E22" s="78">
        <v>1.930555555555556</v>
      </c>
      <c r="F22" s="64" t="s">
        <v>28</v>
      </c>
      <c r="G22" s="66">
        <v>9</v>
      </c>
      <c r="H22" s="67">
        <v>355</v>
      </c>
    </row>
    <row r="23" spans="1:8" ht="19.8" customHeight="1" x14ac:dyDescent="0.3">
      <c r="A23" s="73">
        <v>45994</v>
      </c>
      <c r="B23" s="59" t="s">
        <v>51</v>
      </c>
      <c r="C23" s="60" t="s">
        <v>52</v>
      </c>
      <c r="D23" s="59" t="s">
        <v>1</v>
      </c>
      <c r="E23" s="74">
        <v>1.635416666666667</v>
      </c>
      <c r="F23" s="59" t="s">
        <v>53</v>
      </c>
      <c r="G23" s="61">
        <v>9</v>
      </c>
      <c r="H23" s="62">
        <v>319</v>
      </c>
    </row>
    <row r="24" spans="1:8" ht="19.8" customHeight="1" x14ac:dyDescent="0.3">
      <c r="A24" s="73">
        <v>45994</v>
      </c>
      <c r="B24" s="59" t="s">
        <v>36</v>
      </c>
      <c r="C24" s="60" t="s">
        <v>37</v>
      </c>
      <c r="D24" s="59" t="s">
        <v>1</v>
      </c>
      <c r="E24" s="74">
        <v>1.90625</v>
      </c>
      <c r="F24" s="59" t="s">
        <v>28</v>
      </c>
      <c r="G24" s="61">
        <v>6</v>
      </c>
      <c r="H24" s="62">
        <v>355</v>
      </c>
    </row>
    <row r="25" spans="1:8" ht="19.8" customHeight="1" x14ac:dyDescent="0.3">
      <c r="A25" s="79">
        <v>45994</v>
      </c>
      <c r="B25" s="80" t="s">
        <v>39</v>
      </c>
      <c r="C25" s="81" t="s">
        <v>40</v>
      </c>
      <c r="D25" s="80" t="s">
        <v>1</v>
      </c>
      <c r="E25" s="82">
        <v>1.864583333333333</v>
      </c>
      <c r="F25" s="80" t="s">
        <v>28</v>
      </c>
      <c r="G25" s="83">
        <v>9</v>
      </c>
      <c r="H25" s="84">
        <v>385</v>
      </c>
    </row>
    <row r="26" spans="1:8" ht="19.8" customHeight="1" x14ac:dyDescent="0.3">
      <c r="A26" s="77">
        <v>45994</v>
      </c>
      <c r="B26" s="64" t="s">
        <v>51</v>
      </c>
      <c r="C26" s="65" t="s">
        <v>52</v>
      </c>
      <c r="D26" s="64" t="s">
        <v>1</v>
      </c>
      <c r="E26" s="78">
        <v>1.635416666666667</v>
      </c>
      <c r="F26" s="64" t="s">
        <v>56</v>
      </c>
      <c r="G26" s="66">
        <v>9</v>
      </c>
      <c r="H26" s="67">
        <v>443</v>
      </c>
    </row>
    <row r="27" spans="1:8" ht="19.8" customHeight="1" x14ac:dyDescent="0.3">
      <c r="A27" s="73">
        <v>45995</v>
      </c>
      <c r="B27" s="59" t="s">
        <v>31</v>
      </c>
      <c r="C27" s="60" t="s">
        <v>32</v>
      </c>
      <c r="D27" s="59" t="s">
        <v>1</v>
      </c>
      <c r="E27" s="74">
        <v>1.1284722222222221</v>
      </c>
      <c r="F27" s="59" t="s">
        <v>33</v>
      </c>
      <c r="G27" s="61">
        <v>9</v>
      </c>
      <c r="H27" s="62">
        <v>344</v>
      </c>
    </row>
    <row r="28" spans="1:8" ht="19.8" customHeight="1" x14ac:dyDescent="0.3">
      <c r="A28" s="73">
        <v>45995</v>
      </c>
      <c r="B28" s="59" t="s">
        <v>26</v>
      </c>
      <c r="C28" s="60" t="s">
        <v>27</v>
      </c>
      <c r="D28" s="59" t="s">
        <v>1</v>
      </c>
      <c r="E28" s="74">
        <v>1.9548611111111109</v>
      </c>
      <c r="F28" s="59" t="s">
        <v>28</v>
      </c>
      <c r="G28" s="61">
        <v>9</v>
      </c>
      <c r="H28" s="62">
        <v>355</v>
      </c>
    </row>
    <row r="29" spans="1:8" ht="19.8" customHeight="1" x14ac:dyDescent="0.3">
      <c r="A29" s="73">
        <v>45995</v>
      </c>
      <c r="B29" s="59" t="s">
        <v>36</v>
      </c>
      <c r="C29" s="60" t="s">
        <v>47</v>
      </c>
      <c r="D29" s="59" t="s">
        <v>1</v>
      </c>
      <c r="E29" s="74">
        <v>1.90625</v>
      </c>
      <c r="F29" s="59" t="s">
        <v>28</v>
      </c>
      <c r="G29" s="61">
        <v>4</v>
      </c>
      <c r="H29" s="62">
        <v>355</v>
      </c>
    </row>
    <row r="30" spans="1:8" ht="19.8" customHeight="1" x14ac:dyDescent="0.3">
      <c r="A30" s="75">
        <v>45995</v>
      </c>
      <c r="B30" s="69" t="s">
        <v>39</v>
      </c>
      <c r="C30" s="70" t="s">
        <v>40</v>
      </c>
      <c r="D30" s="69" t="s">
        <v>1</v>
      </c>
      <c r="E30" s="76">
        <v>1.864583333333333</v>
      </c>
      <c r="F30" s="69" t="s">
        <v>28</v>
      </c>
      <c r="G30" s="71">
        <v>9</v>
      </c>
      <c r="H30" s="72">
        <v>400</v>
      </c>
    </row>
    <row r="31" spans="1:8" ht="19.8" customHeight="1" x14ac:dyDescent="0.3">
      <c r="A31" s="73">
        <v>45996</v>
      </c>
      <c r="B31" s="59" t="s">
        <v>51</v>
      </c>
      <c r="C31" s="60" t="s">
        <v>52</v>
      </c>
      <c r="D31" s="59" t="s">
        <v>1</v>
      </c>
      <c r="E31" s="74">
        <v>1.635416666666667</v>
      </c>
      <c r="F31" s="59" t="s">
        <v>53</v>
      </c>
      <c r="G31" s="61">
        <v>9</v>
      </c>
      <c r="H31" s="62">
        <v>325</v>
      </c>
    </row>
    <row r="32" spans="1:8" ht="19.8" customHeight="1" x14ac:dyDescent="0.3">
      <c r="A32" s="73">
        <v>45996</v>
      </c>
      <c r="B32" s="59" t="s">
        <v>31</v>
      </c>
      <c r="C32" s="60" t="s">
        <v>32</v>
      </c>
      <c r="D32" s="59" t="s">
        <v>1</v>
      </c>
      <c r="E32" s="74">
        <v>1.1284722222222221</v>
      </c>
      <c r="F32" s="59" t="s">
        <v>33</v>
      </c>
      <c r="G32" s="61">
        <v>7</v>
      </c>
      <c r="H32" s="62">
        <v>344</v>
      </c>
    </row>
    <row r="33" spans="1:8" ht="19.8" customHeight="1" x14ac:dyDescent="0.3">
      <c r="A33" s="73">
        <v>45996</v>
      </c>
      <c r="B33" s="59" t="s">
        <v>36</v>
      </c>
      <c r="C33" s="60" t="s">
        <v>37</v>
      </c>
      <c r="D33" s="59" t="s">
        <v>1</v>
      </c>
      <c r="E33" s="74">
        <v>1.90625</v>
      </c>
      <c r="F33" s="59" t="s">
        <v>28</v>
      </c>
      <c r="G33" s="61">
        <v>9</v>
      </c>
      <c r="H33" s="62">
        <v>355</v>
      </c>
    </row>
    <row r="34" spans="1:8" ht="19.8" customHeight="1" x14ac:dyDescent="0.3">
      <c r="A34" s="77">
        <v>45996</v>
      </c>
      <c r="B34" s="64" t="s">
        <v>51</v>
      </c>
      <c r="C34" s="65" t="s">
        <v>52</v>
      </c>
      <c r="D34" s="64" t="s">
        <v>1</v>
      </c>
      <c r="E34" s="78">
        <v>1.635416666666667</v>
      </c>
      <c r="F34" s="64" t="s">
        <v>56</v>
      </c>
      <c r="G34" s="66">
        <v>9</v>
      </c>
      <c r="H34" s="67">
        <v>448</v>
      </c>
    </row>
    <row r="35" spans="1:8" ht="19.8" customHeight="1" x14ac:dyDescent="0.3">
      <c r="A35" s="73">
        <v>45997</v>
      </c>
      <c r="B35" s="59" t="s">
        <v>31</v>
      </c>
      <c r="C35" s="60" t="s">
        <v>32</v>
      </c>
      <c r="D35" s="59" t="s">
        <v>1</v>
      </c>
      <c r="E35" s="74">
        <v>1.1284722222222221</v>
      </c>
      <c r="F35" s="59" t="s">
        <v>33</v>
      </c>
      <c r="G35" s="61">
        <v>9</v>
      </c>
      <c r="H35" s="62">
        <v>344</v>
      </c>
    </row>
    <row r="36" spans="1:8" ht="19.8" customHeight="1" x14ac:dyDescent="0.3">
      <c r="A36" s="73">
        <v>45997</v>
      </c>
      <c r="B36" s="59" t="s">
        <v>26</v>
      </c>
      <c r="C36" s="60" t="s">
        <v>27</v>
      </c>
      <c r="D36" s="59" t="s">
        <v>1</v>
      </c>
      <c r="E36" s="74">
        <v>1.822916666666667</v>
      </c>
      <c r="F36" s="59" t="s">
        <v>28</v>
      </c>
      <c r="G36" s="61">
        <v>9</v>
      </c>
      <c r="H36" s="62">
        <v>355</v>
      </c>
    </row>
    <row r="37" spans="1:8" ht="19.8" customHeight="1" x14ac:dyDescent="0.3">
      <c r="A37" s="73">
        <v>45997</v>
      </c>
      <c r="B37" s="59" t="s">
        <v>36</v>
      </c>
      <c r="C37" s="60" t="s">
        <v>47</v>
      </c>
      <c r="D37" s="59" t="s">
        <v>1</v>
      </c>
      <c r="E37" s="74">
        <v>1.90625</v>
      </c>
      <c r="F37" s="59" t="s">
        <v>28</v>
      </c>
      <c r="G37" s="61">
        <v>9</v>
      </c>
      <c r="H37" s="62">
        <v>355</v>
      </c>
    </row>
    <row r="38" spans="1:8" ht="19.8" customHeight="1" x14ac:dyDescent="0.3">
      <c r="A38" s="75">
        <v>45997</v>
      </c>
      <c r="B38" s="69" t="s">
        <v>39</v>
      </c>
      <c r="C38" s="70" t="s">
        <v>40</v>
      </c>
      <c r="D38" s="69" t="s">
        <v>1</v>
      </c>
      <c r="E38" s="76">
        <v>1.989583333333333</v>
      </c>
      <c r="F38" s="69" t="s">
        <v>28</v>
      </c>
      <c r="G38" s="71">
        <v>9</v>
      </c>
      <c r="H38" s="72">
        <v>400</v>
      </c>
    </row>
    <row r="39" spans="1:8" ht="19.8" customHeight="1" x14ac:dyDescent="0.3">
      <c r="A39" s="77">
        <v>45999</v>
      </c>
      <c r="B39" s="64" t="s">
        <v>36</v>
      </c>
      <c r="C39" s="65" t="s">
        <v>37</v>
      </c>
      <c r="D39" s="64" t="s">
        <v>1</v>
      </c>
      <c r="E39" s="78">
        <v>1.864583333333333</v>
      </c>
      <c r="F39" s="64" t="s">
        <v>28</v>
      </c>
      <c r="G39" s="66">
        <v>9</v>
      </c>
      <c r="H39" s="67">
        <v>355</v>
      </c>
    </row>
    <row r="40" spans="1:8" ht="19.8" customHeight="1" x14ac:dyDescent="0.3">
      <c r="A40" s="73">
        <v>46000</v>
      </c>
      <c r="B40" s="59" t="s">
        <v>26</v>
      </c>
      <c r="C40" s="60" t="s">
        <v>27</v>
      </c>
      <c r="D40" s="59" t="s">
        <v>1</v>
      </c>
      <c r="E40" s="74">
        <v>1.930555555555556</v>
      </c>
      <c r="F40" s="59" t="s">
        <v>28</v>
      </c>
      <c r="G40" s="61">
        <v>9</v>
      </c>
      <c r="H40" s="62">
        <v>320</v>
      </c>
    </row>
    <row r="41" spans="1:8" ht="19.8" customHeight="1" x14ac:dyDescent="0.3">
      <c r="A41" s="77">
        <v>46000</v>
      </c>
      <c r="B41" s="64" t="s">
        <v>31</v>
      </c>
      <c r="C41" s="65" t="s">
        <v>32</v>
      </c>
      <c r="D41" s="64" t="s">
        <v>1</v>
      </c>
      <c r="E41" s="78">
        <v>1.1284722222222221</v>
      </c>
      <c r="F41" s="64" t="s">
        <v>33</v>
      </c>
      <c r="G41" s="66">
        <v>9</v>
      </c>
      <c r="H41" s="67">
        <v>344</v>
      </c>
    </row>
    <row r="42" spans="1:8" ht="19.8" customHeight="1" x14ac:dyDescent="0.3">
      <c r="A42" s="79">
        <v>46001</v>
      </c>
      <c r="B42" s="80" t="s">
        <v>39</v>
      </c>
      <c r="C42" s="81" t="s">
        <v>40</v>
      </c>
      <c r="D42" s="80" t="s">
        <v>1</v>
      </c>
      <c r="E42" s="82">
        <v>1.864583333333333</v>
      </c>
      <c r="F42" s="80" t="s">
        <v>28</v>
      </c>
      <c r="G42" s="83">
        <v>7</v>
      </c>
      <c r="H42" s="84">
        <v>319</v>
      </c>
    </row>
    <row r="43" spans="1:8" ht="19.8" customHeight="1" x14ac:dyDescent="0.3">
      <c r="A43" s="77">
        <v>46001</v>
      </c>
      <c r="B43" s="64" t="s">
        <v>36</v>
      </c>
      <c r="C43" s="65" t="s">
        <v>37</v>
      </c>
      <c r="D43" s="64" t="s">
        <v>1</v>
      </c>
      <c r="E43" s="78">
        <v>1.90625</v>
      </c>
      <c r="F43" s="64" t="s">
        <v>28</v>
      </c>
      <c r="G43" s="66">
        <v>9</v>
      </c>
      <c r="H43" s="67">
        <v>355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2"/>
  <sheetViews>
    <sheetView workbookViewId="0"/>
  </sheetViews>
  <sheetFormatPr defaultRowHeight="14.4" x14ac:dyDescent="0.3"/>
  <cols>
    <col min="1" max="1" width="11.109375" bestFit="1" customWidth="1"/>
    <col min="2" max="2" width="15.6640625" bestFit="1" customWidth="1"/>
    <col min="3" max="3" width="16.6640625" bestFit="1" customWidth="1"/>
    <col min="4" max="4" width="27.77734375" bestFit="1" customWidth="1"/>
    <col min="5" max="5" width="18.33203125" bestFit="1" customWidth="1"/>
    <col min="6" max="6" width="23.44140625" bestFit="1" customWidth="1"/>
    <col min="7" max="7" width="40.21875" bestFit="1" customWidth="1"/>
    <col min="8" max="8" width="9.44140625" bestFit="1" customWidth="1"/>
    <col min="9" max="9" width="6.6640625" bestFit="1" customWidth="1"/>
    <col min="10" max="10" width="9.88671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664062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17.88671875" bestFit="1" customWidth="1"/>
  </cols>
  <sheetData>
    <row r="1" spans="1:18" ht="25.05" customHeight="1" x14ac:dyDescent="0.3">
      <c r="A1" s="105" t="s">
        <v>0</v>
      </c>
      <c r="B1" s="104"/>
      <c r="C1" s="104"/>
      <c r="D1" s="104"/>
      <c r="E1" s="104"/>
      <c r="F1" s="1" t="s">
        <v>129</v>
      </c>
      <c r="G1" s="2" t="s">
        <v>2</v>
      </c>
      <c r="H1" s="103">
        <v>45986</v>
      </c>
      <c r="I1" s="104"/>
      <c r="J1" s="104"/>
      <c r="K1" s="104"/>
      <c r="L1" s="104"/>
      <c r="M1" s="1" t="s">
        <v>3</v>
      </c>
      <c r="N1" s="109">
        <v>46001</v>
      </c>
      <c r="O1" s="104"/>
      <c r="P1" s="104"/>
      <c r="Q1" s="104"/>
      <c r="R1" s="104"/>
    </row>
    <row r="2" spans="1:18" ht="18" customHeight="1" x14ac:dyDescent="0.3">
      <c r="A2" s="106" t="s">
        <v>4</v>
      </c>
      <c r="B2" s="104"/>
      <c r="C2" s="104"/>
      <c r="D2" s="104"/>
      <c r="E2" s="104"/>
      <c r="F2" s="104"/>
      <c r="G2" s="108">
        <v>45982.825492648633</v>
      </c>
      <c r="H2" s="104"/>
      <c r="I2" s="104"/>
      <c r="J2" s="104"/>
      <c r="K2" s="110">
        <v>45982.825492648961</v>
      </c>
      <c r="L2" s="104"/>
      <c r="M2" s="104"/>
      <c r="N2" s="104"/>
      <c r="O2" s="104"/>
      <c r="P2" s="104"/>
      <c r="Q2" s="104"/>
      <c r="R2" s="104"/>
    </row>
    <row r="3" spans="1:18" ht="24" customHeight="1" x14ac:dyDescent="0.3">
      <c r="A3" s="107" t="s">
        <v>5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</row>
    <row r="4" spans="1:18" ht="17.399999999999999" customHeight="1" x14ac:dyDescent="0.3">
      <c r="A4" s="132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4"/>
    </row>
    <row r="5" spans="1:18" ht="17.399999999999999" customHeight="1" x14ac:dyDescent="0.3">
      <c r="A5" s="132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4"/>
    </row>
    <row r="6" spans="1:18" ht="17.399999999999999" customHeight="1" x14ac:dyDescent="0.3">
      <c r="A6" s="129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1"/>
    </row>
    <row r="7" spans="1:18" ht="22.05" customHeight="1" x14ac:dyDescent="0.3">
      <c r="A7" s="100" t="s">
        <v>6</v>
      </c>
      <c r="B7" s="101"/>
      <c r="C7" s="101"/>
      <c r="D7" s="101"/>
      <c r="E7" s="101"/>
      <c r="F7" s="102"/>
      <c r="G7" s="3">
        <v>45989</v>
      </c>
      <c r="H7" s="100" t="s">
        <v>7</v>
      </c>
      <c r="I7" s="101"/>
      <c r="J7" s="101"/>
      <c r="K7" s="101"/>
      <c r="L7" s="101"/>
      <c r="M7" s="101"/>
      <c r="N7" s="101"/>
      <c r="O7" s="101"/>
      <c r="P7" s="101"/>
      <c r="Q7" s="101"/>
      <c r="R7" s="102"/>
    </row>
    <row r="8" spans="1:18" ht="24" customHeight="1" x14ac:dyDescent="0.3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5" t="s">
        <v>13</v>
      </c>
      <c r="G8" s="6" t="s">
        <v>14</v>
      </c>
      <c r="H8" s="4" t="s">
        <v>15</v>
      </c>
      <c r="I8" s="4" t="s">
        <v>16</v>
      </c>
      <c r="J8" s="4" t="s">
        <v>17</v>
      </c>
      <c r="K8" s="4" t="s">
        <v>18</v>
      </c>
      <c r="L8" s="4" t="s">
        <v>19</v>
      </c>
      <c r="M8" s="4" t="s">
        <v>20</v>
      </c>
      <c r="N8" s="4" t="s">
        <v>21</v>
      </c>
      <c r="O8" s="4" t="s">
        <v>22</v>
      </c>
      <c r="P8" s="4" t="s">
        <v>23</v>
      </c>
      <c r="Q8" s="4" t="s">
        <v>24</v>
      </c>
      <c r="R8" s="4" t="s">
        <v>25</v>
      </c>
    </row>
    <row r="9" spans="1:18" ht="49.95" customHeight="1" x14ac:dyDescent="0.3">
      <c r="A9" s="85" t="s">
        <v>39</v>
      </c>
      <c r="B9" s="85" t="s">
        <v>130</v>
      </c>
      <c r="C9" s="85">
        <v>0.51736111111111105</v>
      </c>
      <c r="D9" s="85" t="s">
        <v>131</v>
      </c>
      <c r="E9" s="85"/>
      <c r="F9" s="85" t="s">
        <v>132</v>
      </c>
      <c r="G9" s="104"/>
      <c r="H9" s="86" t="s">
        <v>130</v>
      </c>
      <c r="I9" s="87">
        <v>0.27979999999999999</v>
      </c>
      <c r="J9" s="88">
        <v>47</v>
      </c>
      <c r="K9" s="89" t="s">
        <v>49</v>
      </c>
      <c r="L9" s="88">
        <v>20</v>
      </c>
      <c r="M9" s="88">
        <v>3</v>
      </c>
      <c r="N9" s="88">
        <v>4</v>
      </c>
      <c r="O9" s="89" t="s">
        <v>44</v>
      </c>
      <c r="P9" s="89">
        <v>0.51736111111111105</v>
      </c>
      <c r="Q9" s="88">
        <v>168</v>
      </c>
      <c r="R9" s="90" t="s">
        <v>133</v>
      </c>
    </row>
    <row r="10" spans="1:18" ht="17.399999999999999" customHeight="1" x14ac:dyDescent="0.3">
      <c r="A10" s="129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1"/>
    </row>
    <row r="11" spans="1:18" ht="22.05" customHeight="1" x14ac:dyDescent="0.3">
      <c r="A11" s="100" t="s">
        <v>6</v>
      </c>
      <c r="B11" s="101"/>
      <c r="C11" s="101"/>
      <c r="D11" s="101"/>
      <c r="E11" s="101"/>
      <c r="F11" s="102"/>
      <c r="G11" s="3">
        <v>45990</v>
      </c>
      <c r="H11" s="100" t="s">
        <v>7</v>
      </c>
      <c r="I11" s="101"/>
      <c r="J11" s="101"/>
      <c r="K11" s="101"/>
      <c r="L11" s="101"/>
      <c r="M11" s="101"/>
      <c r="N11" s="101"/>
      <c r="O11" s="101"/>
      <c r="P11" s="101"/>
      <c r="Q11" s="101"/>
      <c r="R11" s="102"/>
    </row>
    <row r="12" spans="1:18" ht="24" customHeight="1" x14ac:dyDescent="0.3">
      <c r="A12" s="4" t="s">
        <v>8</v>
      </c>
      <c r="B12" s="4" t="s">
        <v>9</v>
      </c>
      <c r="C12" s="4" t="s">
        <v>10</v>
      </c>
      <c r="D12" s="4" t="s">
        <v>11</v>
      </c>
      <c r="E12" s="4" t="s">
        <v>12</v>
      </c>
      <c r="F12" s="5" t="s">
        <v>13</v>
      </c>
      <c r="G12" s="6" t="s">
        <v>14</v>
      </c>
      <c r="H12" s="4" t="s">
        <v>15</v>
      </c>
      <c r="I12" s="4" t="s">
        <v>16</v>
      </c>
      <c r="J12" s="4" t="s">
        <v>17</v>
      </c>
      <c r="K12" s="4" t="s">
        <v>18</v>
      </c>
      <c r="L12" s="4" t="s">
        <v>19</v>
      </c>
      <c r="M12" s="4" t="s">
        <v>20</v>
      </c>
      <c r="N12" s="4" t="s">
        <v>21</v>
      </c>
      <c r="O12" s="4" t="s">
        <v>22</v>
      </c>
      <c r="P12" s="4" t="s">
        <v>23</v>
      </c>
      <c r="Q12" s="4" t="s">
        <v>24</v>
      </c>
      <c r="R12" s="4" t="s">
        <v>25</v>
      </c>
    </row>
    <row r="13" spans="1:18" ht="15.6" x14ac:dyDescent="0.3">
      <c r="A13" s="111" t="s">
        <v>134</v>
      </c>
      <c r="B13" s="112"/>
      <c r="C13" s="112"/>
      <c r="D13" s="112"/>
      <c r="E13" s="112"/>
      <c r="F13" s="113"/>
      <c r="G13" s="11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</row>
    <row r="14" spans="1:18" ht="49.95" customHeight="1" x14ac:dyDescent="0.3">
      <c r="A14" s="91" t="s">
        <v>39</v>
      </c>
      <c r="B14" s="91" t="s">
        <v>135</v>
      </c>
      <c r="C14" s="91" t="s">
        <v>136</v>
      </c>
      <c r="D14" s="91" t="s">
        <v>137</v>
      </c>
      <c r="E14" s="91" t="s">
        <v>138</v>
      </c>
      <c r="F14" s="91" t="s">
        <v>139</v>
      </c>
      <c r="G14" s="114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</row>
    <row r="15" spans="1:18" ht="17.399999999999999" customHeight="1" x14ac:dyDescent="0.3">
      <c r="A15" s="129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1"/>
    </row>
    <row r="16" spans="1:18" ht="17.399999999999999" customHeight="1" x14ac:dyDescent="0.3">
      <c r="A16" s="129"/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1"/>
    </row>
    <row r="17" spans="1:18" ht="17.399999999999999" customHeight="1" x14ac:dyDescent="0.3">
      <c r="A17" s="129"/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1"/>
    </row>
    <row r="18" spans="1:18" ht="17.399999999999999" customHeight="1" x14ac:dyDescent="0.3">
      <c r="A18" s="129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1"/>
    </row>
    <row r="19" spans="1:18" ht="17.399999999999999" customHeight="1" x14ac:dyDescent="0.3">
      <c r="A19" s="129"/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1"/>
    </row>
    <row r="20" spans="1:18" ht="17.399999999999999" customHeight="1" x14ac:dyDescent="0.3">
      <c r="A20" s="129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1"/>
    </row>
    <row r="21" spans="1:18" ht="22.05" customHeight="1" x14ac:dyDescent="0.3">
      <c r="A21" s="100" t="s">
        <v>6</v>
      </c>
      <c r="B21" s="101"/>
      <c r="C21" s="101"/>
      <c r="D21" s="101"/>
      <c r="E21" s="101"/>
      <c r="F21" s="102"/>
      <c r="G21" s="3">
        <v>45996</v>
      </c>
      <c r="H21" s="100" t="s">
        <v>7</v>
      </c>
      <c r="I21" s="101"/>
      <c r="J21" s="101"/>
      <c r="K21" s="101"/>
      <c r="L21" s="101"/>
      <c r="M21" s="101"/>
      <c r="N21" s="101"/>
      <c r="O21" s="101"/>
      <c r="P21" s="101"/>
      <c r="Q21" s="101"/>
      <c r="R21" s="102"/>
    </row>
    <row r="22" spans="1:18" ht="24" customHeight="1" x14ac:dyDescent="0.3">
      <c r="A22" s="4" t="s">
        <v>8</v>
      </c>
      <c r="B22" s="4" t="s">
        <v>9</v>
      </c>
      <c r="C22" s="4" t="s">
        <v>10</v>
      </c>
      <c r="D22" s="4" t="s">
        <v>11</v>
      </c>
      <c r="E22" s="4" t="s">
        <v>12</v>
      </c>
      <c r="F22" s="5" t="s">
        <v>13</v>
      </c>
      <c r="G22" s="6" t="s">
        <v>14</v>
      </c>
      <c r="H22" s="4" t="s">
        <v>15</v>
      </c>
      <c r="I22" s="4" t="s">
        <v>16</v>
      </c>
      <c r="J22" s="4" t="s">
        <v>17</v>
      </c>
      <c r="K22" s="4" t="s">
        <v>18</v>
      </c>
      <c r="L22" s="4" t="s">
        <v>19</v>
      </c>
      <c r="M22" s="4" t="s">
        <v>20</v>
      </c>
      <c r="N22" s="4" t="s">
        <v>21</v>
      </c>
      <c r="O22" s="4" t="s">
        <v>22</v>
      </c>
      <c r="P22" s="4" t="s">
        <v>23</v>
      </c>
      <c r="Q22" s="4" t="s">
        <v>24</v>
      </c>
      <c r="R22" s="4" t="s">
        <v>25</v>
      </c>
    </row>
    <row r="23" spans="1:18" ht="49.95" customHeight="1" x14ac:dyDescent="0.3">
      <c r="A23" s="93" t="s">
        <v>39</v>
      </c>
      <c r="B23" s="93" t="s">
        <v>130</v>
      </c>
      <c r="C23" s="93">
        <v>0.51736111111111105</v>
      </c>
      <c r="D23" s="93" t="s">
        <v>131</v>
      </c>
      <c r="E23" s="93"/>
      <c r="F23" s="93" t="s">
        <v>132</v>
      </c>
      <c r="G23" s="104"/>
      <c r="H23" s="43" t="s">
        <v>130</v>
      </c>
      <c r="I23" s="44">
        <v>0.125</v>
      </c>
      <c r="J23" s="45">
        <v>21</v>
      </c>
      <c r="K23" s="46" t="s">
        <v>49</v>
      </c>
      <c r="L23" s="45">
        <v>9</v>
      </c>
      <c r="M23" s="45">
        <v>1</v>
      </c>
      <c r="N23" s="45">
        <v>1</v>
      </c>
      <c r="O23" s="46" t="s">
        <v>110</v>
      </c>
      <c r="P23" s="46">
        <v>0.51736111111111105</v>
      </c>
      <c r="Q23" s="45">
        <v>168</v>
      </c>
      <c r="R23" s="47" t="s">
        <v>140</v>
      </c>
    </row>
    <row r="24" spans="1:18" ht="17.399999999999999" customHeight="1" x14ac:dyDescent="0.3">
      <c r="A24" s="129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1"/>
    </row>
    <row r="25" spans="1:18" ht="22.05" customHeight="1" x14ac:dyDescent="0.3">
      <c r="A25" s="100" t="s">
        <v>6</v>
      </c>
      <c r="B25" s="101"/>
      <c r="C25" s="101"/>
      <c r="D25" s="101"/>
      <c r="E25" s="101"/>
      <c r="F25" s="102"/>
      <c r="G25" s="3">
        <v>45997</v>
      </c>
      <c r="H25" s="100" t="s">
        <v>7</v>
      </c>
      <c r="I25" s="101"/>
      <c r="J25" s="101"/>
      <c r="K25" s="101"/>
      <c r="L25" s="101"/>
      <c r="M25" s="101"/>
      <c r="N25" s="101"/>
      <c r="O25" s="101"/>
      <c r="P25" s="101"/>
      <c r="Q25" s="101"/>
      <c r="R25" s="102"/>
    </row>
    <row r="26" spans="1:18" ht="24" customHeight="1" x14ac:dyDescent="0.3">
      <c r="A26" s="4" t="s">
        <v>8</v>
      </c>
      <c r="B26" s="4" t="s">
        <v>9</v>
      </c>
      <c r="C26" s="4" t="s">
        <v>10</v>
      </c>
      <c r="D26" s="4" t="s">
        <v>11</v>
      </c>
      <c r="E26" s="4" t="s">
        <v>12</v>
      </c>
      <c r="F26" s="5" t="s">
        <v>13</v>
      </c>
      <c r="G26" s="6" t="s">
        <v>14</v>
      </c>
      <c r="H26" s="4" t="s">
        <v>15</v>
      </c>
      <c r="I26" s="4" t="s">
        <v>16</v>
      </c>
      <c r="J26" s="4" t="s">
        <v>17</v>
      </c>
      <c r="K26" s="4" t="s">
        <v>18</v>
      </c>
      <c r="L26" s="4" t="s">
        <v>19</v>
      </c>
      <c r="M26" s="4" t="s">
        <v>20</v>
      </c>
      <c r="N26" s="4" t="s">
        <v>21</v>
      </c>
      <c r="O26" s="4" t="s">
        <v>22</v>
      </c>
      <c r="P26" s="4" t="s">
        <v>23</v>
      </c>
      <c r="Q26" s="4" t="s">
        <v>24</v>
      </c>
      <c r="R26" s="4" t="s">
        <v>25</v>
      </c>
    </row>
    <row r="27" spans="1:18" ht="15.6" x14ac:dyDescent="0.3">
      <c r="A27" s="111" t="s">
        <v>134</v>
      </c>
      <c r="B27" s="112"/>
      <c r="C27" s="112"/>
      <c r="D27" s="112"/>
      <c r="E27" s="112"/>
      <c r="F27" s="113"/>
      <c r="G27" s="11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</row>
    <row r="28" spans="1:18" ht="49.95" customHeight="1" x14ac:dyDescent="0.3">
      <c r="A28" s="91" t="s">
        <v>39</v>
      </c>
      <c r="B28" s="91" t="s">
        <v>135</v>
      </c>
      <c r="C28" s="91" t="s">
        <v>136</v>
      </c>
      <c r="D28" s="91" t="s">
        <v>137</v>
      </c>
      <c r="E28" s="91" t="s">
        <v>141</v>
      </c>
      <c r="F28" s="91" t="s">
        <v>139</v>
      </c>
      <c r="G28" s="114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</row>
    <row r="29" spans="1:18" ht="17.399999999999999" customHeight="1" x14ac:dyDescent="0.3">
      <c r="A29" s="129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1"/>
    </row>
    <row r="30" spans="1:18" ht="17.399999999999999" customHeight="1" x14ac:dyDescent="0.3">
      <c r="A30" s="129"/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1"/>
    </row>
    <row r="31" spans="1:18" ht="17.399999999999999" customHeight="1" x14ac:dyDescent="0.3">
      <c r="A31" s="129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1"/>
    </row>
    <row r="32" spans="1:18" ht="17.399999999999999" customHeight="1" x14ac:dyDescent="0.3">
      <c r="A32" s="129"/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1"/>
    </row>
  </sheetData>
  <mergeCells count="36">
    <mergeCell ref="A30:R30"/>
    <mergeCell ref="A15:R15"/>
    <mergeCell ref="G27:G28"/>
    <mergeCell ref="A24:R24"/>
    <mergeCell ref="A6:R6"/>
    <mergeCell ref="A7:F7"/>
    <mergeCell ref="A25:F25"/>
    <mergeCell ref="A32:R32"/>
    <mergeCell ref="G2:J2"/>
    <mergeCell ref="A5:R5"/>
    <mergeCell ref="A17:R17"/>
    <mergeCell ref="N1:R1"/>
    <mergeCell ref="A4:R4"/>
    <mergeCell ref="A20:R20"/>
    <mergeCell ref="G23"/>
    <mergeCell ref="A29:R29"/>
    <mergeCell ref="H11:R11"/>
    <mergeCell ref="A13:F13"/>
    <mergeCell ref="A19:R19"/>
    <mergeCell ref="A10:R10"/>
    <mergeCell ref="H7:R7"/>
    <mergeCell ref="K2:R2"/>
    <mergeCell ref="A31:R31"/>
    <mergeCell ref="A16:R16"/>
    <mergeCell ref="A27:F27"/>
    <mergeCell ref="G13:G14"/>
    <mergeCell ref="H1:L1"/>
    <mergeCell ref="A1:E1"/>
    <mergeCell ref="A21:F21"/>
    <mergeCell ref="A18:R18"/>
    <mergeCell ref="G9"/>
    <mergeCell ref="A2:F2"/>
    <mergeCell ref="A3:R3"/>
    <mergeCell ref="H25:R25"/>
    <mergeCell ref="H21:R21"/>
    <mergeCell ref="A11:F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4"/>
  <sheetViews>
    <sheetView workbookViewId="0"/>
  </sheetViews>
  <sheetFormatPr defaultRowHeight="15.6" outlineLevelCol="1" x14ac:dyDescent="0.3"/>
  <cols>
    <col min="1" max="1" width="6.88671875" style="116" bestFit="1" customWidth="1"/>
    <col min="2" max="2" width="10.44140625" style="116" bestFit="1" customWidth="1"/>
    <col min="3" max="3" width="6.77734375" style="116" bestFit="1" customWidth="1"/>
    <col min="4" max="4" width="5.5546875" style="116" bestFit="1" customWidth="1"/>
    <col min="5" max="5" width="8.5546875" style="116" bestFit="1" customWidth="1"/>
    <col min="6" max="6" width="4.21875" style="116" bestFit="1" customWidth="1"/>
    <col min="7" max="7" width="10" style="116" bestFit="1" customWidth="1"/>
    <col min="8" max="10" width="7" style="116" bestFit="1" customWidth="1"/>
    <col min="11" max="11" width="10.5546875" style="116" bestFit="1" customWidth="1"/>
    <col min="12" max="12" width="18.109375" style="116" bestFit="1" customWidth="1"/>
    <col min="13" max="13" width="7.6640625" style="116" bestFit="1" customWidth="1" outlineLevel="1"/>
    <col min="14" max="14" width="6.33203125" style="116" bestFit="1" customWidth="1" outlineLevel="1"/>
    <col min="15" max="15" width="8" style="116" bestFit="1" customWidth="1" outlineLevel="1"/>
    <col min="16" max="16" width="13.6640625" style="116" bestFit="1" customWidth="1"/>
    <col min="17" max="29" width="3.88671875" style="116" bestFit="1" customWidth="1"/>
    <col min="30" max="31" width="4.5546875" style="116" bestFit="1" customWidth="1"/>
    <col min="32" max="36" width="3.88671875" style="116" bestFit="1" customWidth="1"/>
    <col min="37" max="16384" width="8.88671875" style="116"/>
  </cols>
  <sheetData>
    <row r="1" spans="1:36" x14ac:dyDescent="0.3">
      <c r="A1" s="115" t="s">
        <v>72</v>
      </c>
      <c r="B1" s="115" t="s">
        <v>73</v>
      </c>
      <c r="C1" s="115" t="s">
        <v>74</v>
      </c>
      <c r="D1" s="115" t="s">
        <v>23</v>
      </c>
      <c r="E1" s="115" t="s">
        <v>75</v>
      </c>
      <c r="F1" s="115" t="s">
        <v>76</v>
      </c>
      <c r="G1" s="115" t="s">
        <v>16</v>
      </c>
      <c r="H1" s="115" t="s">
        <v>77</v>
      </c>
      <c r="I1" s="115" t="s">
        <v>78</v>
      </c>
      <c r="J1" s="115" t="s">
        <v>79</v>
      </c>
      <c r="K1" s="115" t="s">
        <v>80</v>
      </c>
      <c r="L1" s="115" t="s">
        <v>18</v>
      </c>
      <c r="M1" s="115" t="s">
        <v>20</v>
      </c>
      <c r="N1" s="115" t="s">
        <v>21</v>
      </c>
      <c r="O1" s="115" t="s">
        <v>19</v>
      </c>
      <c r="P1" s="115" t="s">
        <v>22</v>
      </c>
      <c r="Q1" s="115" t="s">
        <v>81</v>
      </c>
      <c r="R1" s="115" t="s">
        <v>82</v>
      </c>
      <c r="S1" s="115" t="s">
        <v>83</v>
      </c>
      <c r="T1" s="115" t="s">
        <v>84</v>
      </c>
      <c r="U1" s="115" t="s">
        <v>85</v>
      </c>
      <c r="V1" s="115" t="s">
        <v>86</v>
      </c>
      <c r="W1" s="115" t="s">
        <v>87</v>
      </c>
      <c r="X1" s="115" t="s">
        <v>88</v>
      </c>
      <c r="Y1" s="115" t="s">
        <v>89</v>
      </c>
      <c r="Z1" s="115" t="s">
        <v>90</v>
      </c>
      <c r="AA1" s="115" t="s">
        <v>91</v>
      </c>
      <c r="AB1" s="115" t="s">
        <v>92</v>
      </c>
      <c r="AC1" s="115" t="s">
        <v>93</v>
      </c>
      <c r="AD1" s="115" t="s">
        <v>94</v>
      </c>
      <c r="AE1" s="115" t="s">
        <v>95</v>
      </c>
      <c r="AF1" s="115" t="s">
        <v>96</v>
      </c>
      <c r="AG1" s="115" t="s">
        <v>97</v>
      </c>
      <c r="AH1" s="115" t="s">
        <v>98</v>
      </c>
      <c r="AI1" s="115" t="s">
        <v>99</v>
      </c>
      <c r="AJ1" s="115" t="s">
        <v>100</v>
      </c>
    </row>
    <row r="2" spans="1:36" x14ac:dyDescent="0.3">
      <c r="A2" s="117" t="s">
        <v>142</v>
      </c>
      <c r="B2" s="118">
        <v>45989</v>
      </c>
      <c r="C2" s="119" t="s">
        <v>130</v>
      </c>
      <c r="D2" s="120" t="s">
        <v>143</v>
      </c>
      <c r="E2" s="119" t="s">
        <v>129</v>
      </c>
      <c r="F2" s="119" t="s">
        <v>103</v>
      </c>
      <c r="G2" s="121">
        <v>0.27979999999999999</v>
      </c>
      <c r="H2" s="122">
        <v>168</v>
      </c>
      <c r="I2" s="122">
        <v>47</v>
      </c>
      <c r="J2" s="122">
        <v>0</v>
      </c>
      <c r="K2" s="119" t="s">
        <v>104</v>
      </c>
      <c r="L2" s="123" t="s">
        <v>49</v>
      </c>
      <c r="M2" s="122">
        <v>3</v>
      </c>
      <c r="N2" s="122">
        <v>4</v>
      </c>
      <c r="O2" s="122">
        <v>20</v>
      </c>
      <c r="P2" s="119" t="s">
        <v>44</v>
      </c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22" t="s">
        <v>110</v>
      </c>
      <c r="AE2" s="122" t="s">
        <v>144</v>
      </c>
      <c r="AF2" s="122" t="s">
        <v>145</v>
      </c>
      <c r="AG2" s="115"/>
      <c r="AH2" s="115"/>
      <c r="AI2" s="115"/>
      <c r="AJ2" s="115"/>
    </row>
    <row r="3" spans="1:36" x14ac:dyDescent="0.3">
      <c r="A3" s="117" t="s">
        <v>142</v>
      </c>
      <c r="B3" s="118">
        <v>45996</v>
      </c>
      <c r="C3" s="119" t="s">
        <v>130</v>
      </c>
      <c r="D3" s="120" t="s">
        <v>143</v>
      </c>
      <c r="E3" s="119" t="s">
        <v>129</v>
      </c>
      <c r="F3" s="119" t="s">
        <v>103</v>
      </c>
      <c r="G3" s="121">
        <v>0.125</v>
      </c>
      <c r="H3" s="122">
        <v>168</v>
      </c>
      <c r="I3" s="122">
        <v>21</v>
      </c>
      <c r="J3" s="122">
        <v>0</v>
      </c>
      <c r="K3" s="119" t="s">
        <v>104</v>
      </c>
      <c r="L3" s="123" t="s">
        <v>49</v>
      </c>
      <c r="M3" s="122">
        <v>1</v>
      </c>
      <c r="N3" s="122">
        <v>1</v>
      </c>
      <c r="O3" s="122">
        <v>9</v>
      </c>
      <c r="P3" s="119" t="s">
        <v>110</v>
      </c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22" t="s">
        <v>146</v>
      </c>
      <c r="AD3" s="122" t="s">
        <v>147</v>
      </c>
      <c r="AE3" s="122" t="s">
        <v>148</v>
      </c>
      <c r="AF3" s="115"/>
      <c r="AG3" s="115"/>
      <c r="AH3" s="115"/>
      <c r="AI3" s="115"/>
      <c r="AJ3" s="115"/>
    </row>
    <row r="4" spans="1:36" ht="21" x14ac:dyDescent="0.3">
      <c r="A4" s="124" t="s">
        <v>152</v>
      </c>
      <c r="B4" s="125"/>
      <c r="C4" s="124">
        <f>SUBTOTAL(103,TUU_ATZ_LF_LEGACY[Flt])</f>
        <v>2</v>
      </c>
      <c r="D4" s="124"/>
      <c r="E4" s="124">
        <f>SUBTOTAL(103,TUU_ATZ_LF_LEGACY[Brd-Off])</f>
        <v>2</v>
      </c>
      <c r="F4" s="124"/>
      <c r="G4" s="126">
        <f>SUBTOTAL(101,TUU_ATZ_LF_LEGACY[LF%])</f>
        <v>0.2024</v>
      </c>
      <c r="H4" s="127">
        <f>SUBTOTAL(109,TUU_ATZ_LF_LEGACY[CAP])</f>
        <v>336</v>
      </c>
      <c r="I4" s="127">
        <f>SUBTOTAL(109,TUU_ATZ_LF_LEGACY[BKG(Y)])</f>
        <v>68</v>
      </c>
      <c r="J4" s="127">
        <f>SUBTOTAL(109,TUU_ATZ_LF_LEGACY[GRP(Y)])</f>
        <v>0</v>
      </c>
      <c r="K4" s="124"/>
      <c r="L4" s="125"/>
      <c r="M4" s="127">
        <f>SUBTOTAL(109,TUU_ATZ_LF_LEGACY[TO-DAY])</f>
        <v>4</v>
      </c>
      <c r="N4" s="127">
        <f>SUBTOTAL(109,TUU_ATZ_LF_LEGACY[Y-DAY])</f>
        <v>5</v>
      </c>
      <c r="O4" s="127">
        <f>SUBTOTAL(109,TUU_ATZ_LF_LEGACY[WEEKLY])</f>
        <v>29</v>
      </c>
      <c r="P4" s="128"/>
      <c r="Q4" s="127">
        <f>SUBTOTAL(109,TUU_ATZ_LF_LEGACY[Y])</f>
        <v>0</v>
      </c>
      <c r="R4" s="127">
        <f>SUBTOTAL(109,TUU_ATZ_LF_LEGACY[B])</f>
        <v>0</v>
      </c>
      <c r="S4" s="127">
        <f>SUBTOTAL(109,TUU_ATZ_LF_LEGACY[M])</f>
        <v>0</v>
      </c>
      <c r="T4" s="127">
        <f>SUBTOTAL(109,TUU_ATZ_LF_LEGACY[H])</f>
        <v>0</v>
      </c>
      <c r="U4" s="127">
        <f>SUBTOTAL(109,TUU_ATZ_LF_LEGACY[Q])</f>
        <v>0</v>
      </c>
      <c r="V4" s="127">
        <f>SUBTOTAL(109,TUU_ATZ_LF_LEGACY[K])</f>
        <v>0</v>
      </c>
      <c r="W4" s="127">
        <f>SUBTOTAL(109,TUU_ATZ_LF_LEGACY[V])</f>
        <v>0</v>
      </c>
      <c r="X4" s="127">
        <f>SUBTOTAL(109,TUU_ATZ_LF_LEGACY[L])</f>
        <v>0</v>
      </c>
      <c r="Y4" s="127">
        <f>SUBTOTAL(109,TUU_ATZ_LF_LEGACY[G])</f>
        <v>0</v>
      </c>
      <c r="Z4" s="127">
        <f>SUBTOTAL(109,TUU_ATZ_LF_LEGACY[S])</f>
        <v>0</v>
      </c>
      <c r="AA4" s="127">
        <f>SUBTOTAL(109,TUU_ATZ_LF_LEGACY[W])</f>
        <v>0</v>
      </c>
      <c r="AB4" s="127">
        <f>SUBTOTAL(109,TUU_ATZ_LF_LEGACY[T])</f>
        <v>0</v>
      </c>
      <c r="AC4" s="127">
        <f>SUBTOTAL(109,TUU_ATZ_LF_LEGACY[X])</f>
        <v>0</v>
      </c>
      <c r="AD4" s="127">
        <f>SUBTOTAL(109,TUU_ATZ_LF_LEGACY[U])</f>
        <v>0</v>
      </c>
      <c r="AE4" s="127">
        <f>SUBTOTAL(109,TUU_ATZ_LF_LEGACY[O])</f>
        <v>0</v>
      </c>
      <c r="AF4" s="127">
        <f>SUBTOTAL(109,TUU_ATZ_LF_LEGACY[I])</f>
        <v>0</v>
      </c>
      <c r="AG4" s="127">
        <f>SUBTOTAL(109,TUU_ATZ_LF_LEGACY[E])</f>
        <v>0</v>
      </c>
      <c r="AH4" s="127">
        <f>SUBTOTAL(109,TUU_ATZ_LF_LEGACY[A])</f>
        <v>0</v>
      </c>
      <c r="AI4" s="127">
        <f>SUBTOTAL(109,TUU_ATZ_LF_LEGACY[P])</f>
        <v>0</v>
      </c>
      <c r="AJ4" s="127">
        <f>SUBTOTAL(103,TUU_ATZ_LF_LEGACY[N])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77734375" bestFit="1" customWidth="1"/>
    <col min="7" max="7" width="20" bestFit="1" customWidth="1"/>
    <col min="8" max="8" width="23.6640625" bestFit="1" customWidth="1"/>
    <col min="9" max="9" width="161.44140625" hidden="1" customWidth="1"/>
  </cols>
  <sheetData>
    <row r="1" spans="1:8" ht="18" x14ac:dyDescent="0.3">
      <c r="A1" s="55" t="s">
        <v>122</v>
      </c>
      <c r="B1" s="56" t="s">
        <v>8</v>
      </c>
      <c r="C1" s="56" t="s">
        <v>9</v>
      </c>
      <c r="D1" s="56" t="s">
        <v>123</v>
      </c>
      <c r="E1" s="56" t="s">
        <v>10</v>
      </c>
      <c r="F1" s="56" t="s">
        <v>11</v>
      </c>
      <c r="G1" s="56" t="s">
        <v>12</v>
      </c>
      <c r="H1" s="57" t="s">
        <v>13</v>
      </c>
    </row>
    <row r="2" spans="1:8" ht="19.8" customHeight="1" x14ac:dyDescent="0.3">
      <c r="A2" s="68" t="s">
        <v>149</v>
      </c>
      <c r="B2" s="69" t="s">
        <v>39</v>
      </c>
      <c r="C2" s="70" t="s">
        <v>150</v>
      </c>
      <c r="D2" s="69" t="s">
        <v>129</v>
      </c>
      <c r="E2" s="69" t="s">
        <v>143</v>
      </c>
      <c r="F2" s="69"/>
      <c r="G2" s="69"/>
      <c r="H2" s="94" t="s">
        <v>132</v>
      </c>
    </row>
    <row r="3" spans="1:8" ht="19.8" customHeight="1" x14ac:dyDescent="0.3">
      <c r="A3" s="95"/>
      <c r="B3" s="96"/>
      <c r="C3" s="96"/>
      <c r="D3" s="96"/>
      <c r="E3" s="96"/>
      <c r="F3" s="97" t="s">
        <v>151</v>
      </c>
      <c r="G3" s="96"/>
      <c r="H3" s="98"/>
    </row>
    <row r="4" spans="1:8" ht="19.8" customHeight="1" x14ac:dyDescent="0.3">
      <c r="A4" s="77">
        <v>45990</v>
      </c>
      <c r="B4" s="64" t="s">
        <v>39</v>
      </c>
      <c r="C4" s="65" t="s">
        <v>135</v>
      </c>
      <c r="D4" s="64" t="s">
        <v>1</v>
      </c>
      <c r="E4" s="78">
        <v>1.9375</v>
      </c>
      <c r="F4" s="64" t="s">
        <v>137</v>
      </c>
      <c r="G4" s="66">
        <v>2</v>
      </c>
      <c r="H4" s="99" t="s">
        <v>139</v>
      </c>
    </row>
    <row r="5" spans="1:8" ht="19.8" customHeight="1" x14ac:dyDescent="0.3">
      <c r="A5" s="75">
        <v>45996</v>
      </c>
      <c r="B5" s="69" t="s">
        <v>39</v>
      </c>
      <c r="C5" s="70" t="s">
        <v>150</v>
      </c>
      <c r="D5" s="69" t="s">
        <v>129</v>
      </c>
      <c r="E5" s="76">
        <v>1.5173611111111109</v>
      </c>
      <c r="F5" s="69"/>
      <c r="G5" s="69"/>
      <c r="H5" s="94" t="s">
        <v>132</v>
      </c>
    </row>
    <row r="6" spans="1:8" ht="19.8" customHeight="1" x14ac:dyDescent="0.3">
      <c r="A6" s="95"/>
      <c r="B6" s="96"/>
      <c r="C6" s="96"/>
      <c r="D6" s="96"/>
      <c r="E6" s="96"/>
      <c r="F6" s="97" t="s">
        <v>151</v>
      </c>
      <c r="G6" s="96"/>
      <c r="H6" s="98"/>
    </row>
    <row r="7" spans="1:8" ht="19.8" customHeight="1" x14ac:dyDescent="0.3">
      <c r="A7" s="77">
        <v>45997</v>
      </c>
      <c r="B7" s="64" t="s">
        <v>39</v>
      </c>
      <c r="C7" s="65" t="s">
        <v>135</v>
      </c>
      <c r="D7" s="64" t="s">
        <v>1</v>
      </c>
      <c r="E7" s="78">
        <v>1.9375</v>
      </c>
      <c r="F7" s="64" t="s">
        <v>137</v>
      </c>
      <c r="G7" s="66">
        <v>9</v>
      </c>
      <c r="H7" s="99" t="s">
        <v>139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TUU-CAI</vt:lpstr>
      <vt:lpstr>TUU-CAI LF LEGACY</vt:lpstr>
      <vt:lpstr>TUU-CAI - FOCUS MODE</vt:lpstr>
      <vt:lpstr>TUU-ATZ</vt:lpstr>
      <vt:lpstr>TUU-ATZ LF LEGACY</vt:lpstr>
      <vt:lpstr>TUU-ATZ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2025-11-21T16:50:59Z</dcterms:created>
  <dcterms:modified xsi:type="dcterms:W3CDTF">2025-11-21T16:51:08Z</dcterms:modified>
</cp:coreProperties>
</file>