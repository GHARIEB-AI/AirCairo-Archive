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6BEFB951-0E29-4843-A3AB-583F4D4468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Z-CAI" sheetId="1" r:id="rId1"/>
    <sheet name="GIZ-CAI LF LEGACY" sheetId="2" r:id="rId2"/>
    <sheet name="GIZ-CAI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2" l="1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F6EC18CA-074F-431C-A530-94627C8F258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30.4%]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X8]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W5 &amp; X10 &amp; U35</t>
        </r>
      </text>
    </comment>
    <comment ref="F8" authorId="0" shapeId="0" xr:uid="{36C0F061-4CC2-407D-8BC5-43702D4819E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41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X5 &amp; U26 &amp; O5 &amp; I5</t>
        </r>
      </text>
    </comment>
    <comment ref="F11" authorId="0" shapeId="0" xr:uid="{AD32083B-803E-4677-8466-877E25D8770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13.7%]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U16 &amp; O5</t>
        </r>
      </text>
    </comment>
    <comment ref="F13" authorId="0" shapeId="0" xr:uid="{20609975-5523-4A34-8F7E-03B87F6AAF0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SM330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19-NOV]_x000D_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U5 &amp; O3</t>
        </r>
      </text>
    </comment>
  </commentList>
</comments>
</file>

<file path=xl/sharedStrings.xml><?xml version="1.0" encoding="utf-8"?>
<sst xmlns="http://schemas.openxmlformats.org/spreadsheetml/2006/main" count="460" uniqueCount="116">
  <si>
    <t>COMPREHENSIVE REPORT</t>
  </si>
  <si>
    <t>GIZ-CAI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</si>
  <si>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</si>
  <si>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</si>
  <si>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</si>
  <si>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</si>
  <si>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</si>
  <si>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</si>
  <si>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</si>
  <si>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</si>
  <si>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</si>
  <si>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</si>
  <si>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</si>
  <si>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</si>
  <si>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</si>
  <si>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</si>
  <si>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</si>
  <si>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</si>
  <si>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</si>
  <si>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</si>
  <si>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</si>
  <si>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</si>
  <si>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</si>
  <si>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</si>
  <si>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</si>
  <si>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</si>
  <si>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Nile Air</t>
  </si>
  <si>
    <t>NP-142</t>
  </si>
  <si>
    <t>Cabin: 7 KG | Check-in: 40 KG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</si>
  <si>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</si>
  <si>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730 SAR</t>
  </si>
  <si>
    <t>Air Arabia Egypt</t>
  </si>
  <si>
    <t>E5-586</t>
  </si>
  <si>
    <t>Cabin: 10 KG / Check-in: 30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</si>
  <si>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</si>
  <si>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491 SAR</t>
  </si>
  <si>
    <t>Cabin: 10 KG / Check-in: 2 x 40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</si>
  <si>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</si>
  <si>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615 SAR</t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</si>
  <si>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</si>
  <si>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558 SAR</t>
  </si>
  <si>
    <t>Air Cairo</t>
  </si>
  <si>
    <t>SM-330</t>
  </si>
  <si>
    <t>578 SAR</t>
  </si>
  <si>
    <t>SM330</t>
  </si>
  <si>
    <t>2025-11-21 00:00:00</t>
  </si>
  <si>
    <t>X8</t>
  </si>
  <si>
    <t>S1 &amp; W5 &amp; X10 &amp; U35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</si>
  <si>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</si>
  <si>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621 SAR</t>
  </si>
  <si>
    <t>519 SAR</t>
  </si>
  <si>
    <t>2025-11-20 00:00:00</t>
  </si>
  <si>
    <t>U8</t>
  </si>
  <si>
    <t>X5 &amp; U26 &amp; O5 &amp; I5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</si>
  <si>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</si>
  <si>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</si>
  <si>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U9</t>
  </si>
  <si>
    <t>S2 &amp; U16 &amp; O5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</si>
  <si>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</si>
  <si>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2025-11-19 00:00:00</t>
  </si>
  <si>
    <t>S2 &amp; U5 &amp; O3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</si>
  <si>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</si>
  <si>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</si>
  <si>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</si>
  <si>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</si>
  <si>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</si>
  <si>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</si>
  <si>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</si>
  <si>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</si>
  <si>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</si>
  <si>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</si>
  <si>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</si>
  <si>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</si>
  <si>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</si>
  <si>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</si>
  <si>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</si>
  <si>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</si>
  <si>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</si>
  <si>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</si>
  <si>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</si>
  <si>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</si>
  <si>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</si>
  <si>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</si>
  <si>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</si>
  <si>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</si>
  <si>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</si>
  <si>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</si>
  <si>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</si>
  <si>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</si>
  <si>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</si>
  <si>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</si>
  <si>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</si>
  <si>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00:30</t>
  </si>
  <si>
    <t>320</t>
  </si>
  <si>
    <t>UPCOMING</t>
  </si>
  <si>
    <t>S1</t>
  </si>
  <si>
    <t>W5</t>
  </si>
  <si>
    <t>X10</t>
  </si>
  <si>
    <t>U35</t>
  </si>
  <si>
    <t>SUNDAY</t>
  </si>
  <si>
    <t>X5</t>
  </si>
  <si>
    <t>U26</t>
  </si>
  <si>
    <t>O5</t>
  </si>
  <si>
    <t>I5</t>
  </si>
  <si>
    <t>S2</t>
  </si>
  <si>
    <t>U16</t>
  </si>
  <si>
    <t>U5</t>
  </si>
  <si>
    <t>O3</t>
  </si>
  <si>
    <t>DATE</t>
  </si>
  <si>
    <t>ROUTE</t>
  </si>
  <si>
    <t>2025-11-25</t>
  </si>
  <si>
    <t>13:00</t>
  </si>
  <si>
    <t>2025-11-27</t>
  </si>
  <si>
    <t>04:30</t>
  </si>
  <si>
    <t>2025-11-28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</si>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</sst>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B5E7D3"/>
      </patternFill>
    </fill>
    <fill>
      <patternFill patternType="solid">
        <fgColor rgb="FFC5D9F1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167" fontId="12" fillId="9" borderId="13" xfId="0" applyNumberFormat="1" applyFont="1" applyFill="1" applyBorder="1" applyAlignment="1">
      <alignment horizontal="center" vertical="center"/>
    </xf>
    <xf numFmtId="168" fontId="11" fillId="9" borderId="13" xfId="0" applyNumberFormat="1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/>
    </xf>
    <xf numFmtId="167" fontId="12" fillId="10" borderId="13" xfId="0" applyNumberFormat="1" applyFont="1" applyFill="1" applyBorder="1" applyAlignment="1">
      <alignment horizontal="center" vertical="center"/>
    </xf>
    <xf numFmtId="168" fontId="11" fillId="10" borderId="13" xfId="0" applyNumberFormat="1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167" fontId="12" fillId="11" borderId="13" xfId="0" applyNumberFormat="1" applyFont="1" applyFill="1" applyBorder="1" applyAlignment="1">
      <alignment horizontal="center" vertical="center"/>
    </xf>
    <xf numFmtId="168" fontId="11" fillId="11" borderId="13" xfId="0" applyNumberFormat="1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center" vertical="center"/>
    </xf>
    <xf numFmtId="171" fontId="14" fillId="0" borderId="24" xfId="0" applyNumberFormat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1" fontId="14" fillId="0" borderId="26" xfId="0" applyNumberFormat="1" applyFont="1" applyBorder="1" applyAlignment="1">
      <alignment horizontal="center" vertical="center"/>
    </xf>
    <xf numFmtId="171" fontId="14" fillId="0" borderId="27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171" fontId="15" fillId="0" borderId="24" xfId="0" applyNumberFormat="1" applyFont="1" applyBorder="1" applyAlignment="1">
      <alignment horizontal="center" vertical="center"/>
    </xf>
    <xf numFmtId="172" fontId="14" fillId="0" borderId="22" xfId="0" applyNumberFormat="1" applyFont="1" applyBorder="1" applyAlignment="1">
      <alignment horizontal="center" vertical="center"/>
    </xf>
    <xf numFmtId="173" fontId="14" fillId="0" borderId="23" xfId="0" applyNumberFormat="1" applyFont="1" applyBorder="1" applyAlignment="1">
      <alignment horizontal="center" vertical="center"/>
    </xf>
    <xf numFmtId="172" fontId="15" fillId="0" borderId="22" xfId="0" applyNumberFormat="1" applyFont="1" applyBorder="1" applyAlignment="1">
      <alignment horizontal="center" vertical="center"/>
    </xf>
    <xf numFmtId="173" fontId="15" fillId="0" borderId="2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169" fontId="19" fillId="0" borderId="0" xfId="0" applyNumberFormat="1" applyFont="1" applyAlignment="1">
      <alignment horizontal="center" vertical="center"/>
    </xf>
    <xf numFmtId="15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170" fontId="19" fillId="0" borderId="0" xfId="0" applyNumberFormat="1" applyFont="1" applyAlignment="1">
      <alignment horizontal="center" vertical="center"/>
    </xf>
    <xf numFmtId="167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6" fontId="19" fillId="0" borderId="0" xfId="0" applyNumberFormat="1" applyFont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15" fontId="20" fillId="13" borderId="0" xfId="0" applyNumberFormat="1" applyFont="1" applyFill="1" applyAlignment="1">
      <alignment horizontal="center" vertical="center"/>
    </xf>
    <xf numFmtId="167" fontId="20" fillId="13" borderId="0" xfId="0" applyNumberFormat="1" applyFont="1" applyFill="1" applyAlignment="1">
      <alignment horizontal="center" vertical="center"/>
    </xf>
    <xf numFmtId="1" fontId="20" fillId="13" borderId="0" xfId="0" applyNumberFormat="1" applyFont="1" applyFill="1" applyAlignment="1">
      <alignment horizontal="center" vertical="center"/>
    </xf>
    <xf numFmtId="0" fontId="20" fillId="13" borderId="0" xfId="0" applyNumberFormat="1" applyFont="1" applyFill="1" applyAlignment="1">
      <alignment horizontal="center" vertical="center"/>
    </xf>
    <xf numFmtId="0" fontId="0" fillId="8" borderId="28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IZ_CAI_LF_LEGACY" displayName="GIZ_CAI_LF_LEGACY" ref="A1:AJ6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GIZ_CAI" displayName="FocusMode_GIZ_CAI" ref="A1:H14" totalsRowShown="0">
  <autoFilter ref="A1:H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0.4414062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24.44140625" bestFit="1" customWidth="1"/>
  </cols>
  <sheetData>
    <row r="1" spans="1:18" ht="25.05" customHeight="1" x14ac:dyDescent="0.3">
      <c r="A1" s="62" t="s">
        <v>0</v>
      </c>
      <c r="B1" s="60"/>
      <c r="C1" s="60"/>
      <c r="D1" s="60"/>
      <c r="E1" s="60"/>
      <c r="F1" s="1" t="s">
        <v>1</v>
      </c>
      <c r="G1" s="2" t="s">
        <v>2</v>
      </c>
      <c r="H1" s="61">
        <v>45986</v>
      </c>
      <c r="I1" s="60"/>
      <c r="J1" s="60"/>
      <c r="K1" s="60"/>
      <c r="L1" s="60"/>
      <c r="M1" s="1" t="s">
        <v>3</v>
      </c>
      <c r="N1" s="66">
        <v>46001</v>
      </c>
      <c r="O1" s="60"/>
      <c r="P1" s="60"/>
      <c r="Q1" s="60"/>
      <c r="R1" s="60"/>
    </row>
    <row r="2" spans="1:18" ht="18" customHeight="1" x14ac:dyDescent="0.3">
      <c r="A2" s="63" t="s">
        <v>4</v>
      </c>
      <c r="B2" s="60"/>
      <c r="C2" s="60"/>
      <c r="D2" s="60"/>
      <c r="E2" s="60"/>
      <c r="F2" s="60"/>
      <c r="G2" s="65">
        <v>45982.825503746637</v>
      </c>
      <c r="H2" s="60"/>
      <c r="I2" s="60"/>
      <c r="J2" s="60"/>
      <c r="K2" s="67">
        <v>45982.825503746957</v>
      </c>
      <c r="L2" s="60"/>
      <c r="M2" s="60"/>
      <c r="N2" s="60"/>
      <c r="O2" s="60"/>
      <c r="P2" s="60"/>
      <c r="Q2" s="60"/>
      <c r="R2" s="60"/>
    </row>
    <row r="3" spans="1:18" ht="24" customHeight="1" x14ac:dyDescent="0.3">
      <c r="A3" s="64" t="s">
        <v>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1:18" ht="22.05" customHeight="1" x14ac:dyDescent="0.3">
      <c r="A4" s="57" t="s">
        <v>6</v>
      </c>
      <c r="B4" s="58"/>
      <c r="C4" s="58"/>
      <c r="D4" s="58"/>
      <c r="E4" s="58"/>
      <c r="F4" s="59"/>
      <c r="G4" s="3">
        <v>45986</v>
      </c>
      <c r="H4" s="57" t="s">
        <v>7</v>
      </c>
      <c r="I4" s="58"/>
      <c r="J4" s="58"/>
      <c r="K4" s="58"/>
      <c r="L4" s="58"/>
      <c r="M4" s="58"/>
      <c r="N4" s="58"/>
      <c r="O4" s="58"/>
      <c r="P4" s="58"/>
      <c r="Q4" s="58"/>
      <c r="R4" s="59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49.95" customHeight="1" x14ac:dyDescent="0.3">
      <c r="A6" s="7" t="s">
        <v>26</v>
      </c>
      <c r="B6" s="7" t="s">
        <v>27</v>
      </c>
      <c r="C6" s="7">
        <v>0.54166666666666663</v>
      </c>
      <c r="D6" s="7" t="s">
        <v>28</v>
      </c>
      <c r="E6" s="7" t="s">
        <v>29</v>
      </c>
      <c r="F6" s="7" t="s">
        <v>30</v>
      </c>
      <c r="G6" s="60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7.399999999999999" customHeight="1" x14ac:dyDescent="0.3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4"/>
    </row>
    <row r="8" spans="1:18" ht="17.399999999999999" customHeight="1" x14ac:dyDescent="0.3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2.05" customHeight="1" x14ac:dyDescent="0.3">
      <c r="A9" s="57" t="s">
        <v>6</v>
      </c>
      <c r="B9" s="58"/>
      <c r="C9" s="58"/>
      <c r="D9" s="58"/>
      <c r="E9" s="58"/>
      <c r="F9" s="59"/>
      <c r="G9" s="3">
        <v>45988</v>
      </c>
      <c r="H9" s="57" t="s">
        <v>7</v>
      </c>
      <c r="I9" s="58"/>
      <c r="J9" s="58"/>
      <c r="K9" s="58"/>
      <c r="L9" s="58"/>
      <c r="M9" s="58"/>
      <c r="N9" s="58"/>
      <c r="O9" s="58"/>
      <c r="P9" s="58"/>
      <c r="Q9" s="58"/>
      <c r="R9" s="59"/>
    </row>
    <row r="10" spans="1:18" ht="24" customHeight="1" x14ac:dyDescent="0.3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5" t="s">
        <v>13</v>
      </c>
      <c r="G10" s="6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  <c r="Q10" s="4" t="s">
        <v>24</v>
      </c>
      <c r="R10" s="4" t="s">
        <v>25</v>
      </c>
    </row>
    <row r="11" spans="1:18" ht="49.95" customHeight="1" x14ac:dyDescent="0.3">
      <c r="A11" s="11" t="s">
        <v>31</v>
      </c>
      <c r="B11" s="11" t="s">
        <v>32</v>
      </c>
      <c r="C11" s="11">
        <v>0.1875</v>
      </c>
      <c r="D11" s="11" t="s">
        <v>33</v>
      </c>
      <c r="E11" s="11" t="s">
        <v>34</v>
      </c>
      <c r="F11" s="11" t="s">
        <v>35</v>
      </c>
      <c r="G11" s="60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4"/>
    </row>
    <row r="12" spans="1:18" ht="49.95" customHeight="1" x14ac:dyDescent="0.3">
      <c r="A12" s="15" t="s">
        <v>31</v>
      </c>
      <c r="B12" s="15" t="s">
        <v>32</v>
      </c>
      <c r="C12" s="15">
        <v>0.1875</v>
      </c>
      <c r="D12" s="15" t="s">
        <v>36</v>
      </c>
      <c r="E12" s="15" t="s">
        <v>37</v>
      </c>
      <c r="F12" s="15" t="s">
        <v>38</v>
      </c>
      <c r="G12" s="60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4"/>
    </row>
    <row r="13" spans="1:18" ht="49.95" customHeight="1" x14ac:dyDescent="0.3">
      <c r="A13" s="16" t="s">
        <v>26</v>
      </c>
      <c r="B13" s="16" t="s">
        <v>27</v>
      </c>
      <c r="C13" s="16">
        <v>0.54166666666666663</v>
      </c>
      <c r="D13" s="16" t="s">
        <v>28</v>
      </c>
      <c r="E13" s="16" t="s">
        <v>39</v>
      </c>
      <c r="F13" s="16" t="s">
        <v>40</v>
      </c>
      <c r="G13" s="60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17.399999999999999" customHeight="1" x14ac:dyDescent="0.3">
      <c r="A14" s="82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4"/>
    </row>
    <row r="15" spans="1:18" ht="22.05" customHeight="1" x14ac:dyDescent="0.3">
      <c r="A15" s="57" t="s">
        <v>6</v>
      </c>
      <c r="B15" s="58"/>
      <c r="C15" s="58"/>
      <c r="D15" s="58"/>
      <c r="E15" s="58"/>
      <c r="F15" s="59"/>
      <c r="G15" s="3">
        <v>45989</v>
      </c>
      <c r="H15" s="57" t="s">
        <v>7</v>
      </c>
      <c r="I15" s="58"/>
      <c r="J15" s="58"/>
      <c r="K15" s="58"/>
      <c r="L15" s="58"/>
      <c r="M15" s="58"/>
      <c r="N15" s="58"/>
      <c r="O15" s="58"/>
      <c r="P15" s="58"/>
      <c r="Q15" s="58"/>
      <c r="R15" s="59"/>
    </row>
    <row r="16" spans="1:18" ht="24" customHeight="1" x14ac:dyDescent="0.3">
      <c r="A16" s="4" t="s">
        <v>8</v>
      </c>
      <c r="B16" s="4" t="s">
        <v>9</v>
      </c>
      <c r="C16" s="4" t="s">
        <v>10</v>
      </c>
      <c r="D16" s="4" t="s">
        <v>11</v>
      </c>
      <c r="E16" s="4" t="s">
        <v>12</v>
      </c>
      <c r="F16" s="5" t="s">
        <v>13</v>
      </c>
      <c r="G16" s="6" t="s">
        <v>14</v>
      </c>
      <c r="H16" s="4" t="s">
        <v>15</v>
      </c>
      <c r="I16" s="4" t="s">
        <v>16</v>
      </c>
      <c r="J16" s="4" t="s">
        <v>17</v>
      </c>
      <c r="K16" s="4" t="s">
        <v>18</v>
      </c>
      <c r="L16" s="4" t="s">
        <v>19</v>
      </c>
      <c r="M16" s="4" t="s">
        <v>20</v>
      </c>
      <c r="N16" s="4" t="s">
        <v>21</v>
      </c>
      <c r="O16" s="4" t="s">
        <v>22</v>
      </c>
      <c r="P16" s="4" t="s">
        <v>23</v>
      </c>
      <c r="Q16" s="4" t="s">
        <v>24</v>
      </c>
      <c r="R16" s="4" t="s">
        <v>25</v>
      </c>
    </row>
    <row r="17" spans="1:18" ht="49.95" customHeight="1" x14ac:dyDescent="0.3">
      <c r="A17" s="17" t="s">
        <v>41</v>
      </c>
      <c r="B17" s="17" t="s">
        <v>42</v>
      </c>
      <c r="C17" s="17">
        <v>2.0833333333333329E-2</v>
      </c>
      <c r="D17" s="17" t="s">
        <v>28</v>
      </c>
      <c r="E17" s="17" t="s">
        <v>29</v>
      </c>
      <c r="F17" s="17" t="s">
        <v>43</v>
      </c>
      <c r="G17" s="60"/>
      <c r="H17" s="18" t="s">
        <v>44</v>
      </c>
      <c r="I17" s="19">
        <v>0.30359999999999998</v>
      </c>
      <c r="J17" s="20">
        <v>51</v>
      </c>
      <c r="K17" s="21" t="s">
        <v>45</v>
      </c>
      <c r="L17" s="20">
        <v>15</v>
      </c>
      <c r="M17" s="20">
        <v>2</v>
      </c>
      <c r="N17" s="20">
        <v>4</v>
      </c>
      <c r="O17" s="21" t="s">
        <v>46</v>
      </c>
      <c r="P17" s="21">
        <v>2.0833333333333329E-2</v>
      </c>
      <c r="Q17" s="20">
        <v>168</v>
      </c>
      <c r="R17" s="22" t="s">
        <v>47</v>
      </c>
    </row>
    <row r="18" spans="1:18" ht="17.399999999999999" customHeight="1" x14ac:dyDescent="0.3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4"/>
    </row>
    <row r="19" spans="1:18" ht="22.05" customHeight="1" x14ac:dyDescent="0.3">
      <c r="A19" s="57" t="s">
        <v>6</v>
      </c>
      <c r="B19" s="58"/>
      <c r="C19" s="58"/>
      <c r="D19" s="58"/>
      <c r="E19" s="58"/>
      <c r="F19" s="59"/>
      <c r="G19" s="3">
        <v>45990</v>
      </c>
      <c r="H19" s="57" t="s">
        <v>7</v>
      </c>
      <c r="I19" s="58"/>
      <c r="J19" s="58"/>
      <c r="K19" s="58"/>
      <c r="L19" s="58"/>
      <c r="M19" s="58"/>
      <c r="N19" s="58"/>
      <c r="O19" s="58"/>
      <c r="P19" s="58"/>
      <c r="Q19" s="58"/>
      <c r="R19" s="59"/>
    </row>
    <row r="20" spans="1:18" ht="24" customHeight="1" x14ac:dyDescent="0.3">
      <c r="A20" s="4" t="s">
        <v>8</v>
      </c>
      <c r="B20" s="4" t="s">
        <v>9</v>
      </c>
      <c r="C20" s="4" t="s">
        <v>10</v>
      </c>
      <c r="D20" s="4" t="s">
        <v>11</v>
      </c>
      <c r="E20" s="4" t="s">
        <v>12</v>
      </c>
      <c r="F20" s="5" t="s">
        <v>13</v>
      </c>
      <c r="G20" s="6" t="s">
        <v>14</v>
      </c>
      <c r="H20" s="4" t="s">
        <v>15</v>
      </c>
      <c r="I20" s="4" t="s">
        <v>16</v>
      </c>
      <c r="J20" s="4" t="s">
        <v>17</v>
      </c>
      <c r="K20" s="4" t="s">
        <v>18</v>
      </c>
      <c r="L20" s="4" t="s">
        <v>19</v>
      </c>
      <c r="M20" s="4" t="s">
        <v>20</v>
      </c>
      <c r="N20" s="4" t="s">
        <v>21</v>
      </c>
      <c r="O20" s="4" t="s">
        <v>22</v>
      </c>
      <c r="P20" s="4" t="s">
        <v>23</v>
      </c>
      <c r="Q20" s="4" t="s">
        <v>24</v>
      </c>
      <c r="R20" s="4" t="s">
        <v>25</v>
      </c>
    </row>
    <row r="21" spans="1:18" ht="49.95" customHeight="1" x14ac:dyDescent="0.3">
      <c r="A21" s="7" t="s">
        <v>26</v>
      </c>
      <c r="B21" s="7" t="s">
        <v>27</v>
      </c>
      <c r="C21" s="7">
        <v>0.54166666666666663</v>
      </c>
      <c r="D21" s="7" t="s">
        <v>28</v>
      </c>
      <c r="E21" s="7" t="s">
        <v>48</v>
      </c>
      <c r="F21" s="7" t="s">
        <v>49</v>
      </c>
      <c r="G21" s="60"/>
      <c r="H21" s="8"/>
      <c r="I21" s="9"/>
      <c r="J21" s="9"/>
      <c r="K21" s="9"/>
      <c r="L21" s="9"/>
      <c r="M21" s="9"/>
      <c r="N21" s="9"/>
      <c r="O21" s="9"/>
      <c r="P21" s="9"/>
      <c r="Q21" s="9"/>
      <c r="R21" s="10"/>
    </row>
    <row r="22" spans="1:18" ht="17.399999999999999" customHeight="1" x14ac:dyDescent="0.3">
      <c r="A22" s="82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4"/>
    </row>
    <row r="23" spans="1:18" ht="22.05" customHeight="1" x14ac:dyDescent="0.3">
      <c r="A23" s="57" t="s">
        <v>6</v>
      </c>
      <c r="B23" s="58"/>
      <c r="C23" s="58"/>
      <c r="D23" s="58"/>
      <c r="E23" s="58"/>
      <c r="F23" s="59"/>
      <c r="G23" s="3">
        <v>45991</v>
      </c>
      <c r="H23" s="57" t="s">
        <v>7</v>
      </c>
      <c r="I23" s="58"/>
      <c r="J23" s="58"/>
      <c r="K23" s="58"/>
      <c r="L23" s="58"/>
      <c r="M23" s="58"/>
      <c r="N23" s="58"/>
      <c r="O23" s="58"/>
      <c r="P23" s="58"/>
      <c r="Q23" s="58"/>
      <c r="R23" s="59"/>
    </row>
    <row r="24" spans="1:18" ht="24" customHeight="1" x14ac:dyDescent="0.3">
      <c r="A24" s="4" t="s">
        <v>8</v>
      </c>
      <c r="B24" s="4" t="s">
        <v>9</v>
      </c>
      <c r="C24" s="4" t="s">
        <v>10</v>
      </c>
      <c r="D24" s="4" t="s">
        <v>11</v>
      </c>
      <c r="E24" s="4" t="s">
        <v>12</v>
      </c>
      <c r="F24" s="5" t="s">
        <v>13</v>
      </c>
      <c r="G24" s="6" t="s">
        <v>14</v>
      </c>
      <c r="H24" s="4" t="s">
        <v>15</v>
      </c>
      <c r="I24" s="4" t="s">
        <v>16</v>
      </c>
      <c r="J24" s="4" t="s">
        <v>17</v>
      </c>
      <c r="K24" s="4" t="s">
        <v>18</v>
      </c>
      <c r="L24" s="4" t="s">
        <v>19</v>
      </c>
      <c r="M24" s="4" t="s">
        <v>20</v>
      </c>
      <c r="N24" s="4" t="s">
        <v>21</v>
      </c>
      <c r="O24" s="4" t="s">
        <v>22</v>
      </c>
      <c r="P24" s="4" t="s">
        <v>23</v>
      </c>
      <c r="Q24" s="4" t="s">
        <v>24</v>
      </c>
      <c r="R24" s="4" t="s">
        <v>25</v>
      </c>
    </row>
    <row r="25" spans="1:18" ht="49.95" customHeight="1" x14ac:dyDescent="0.3">
      <c r="A25" s="23" t="s">
        <v>41</v>
      </c>
      <c r="B25" s="23" t="s">
        <v>42</v>
      </c>
      <c r="C25" s="23">
        <v>2.0833333333333329E-2</v>
      </c>
      <c r="D25" s="23" t="s">
        <v>28</v>
      </c>
      <c r="E25" s="23" t="s">
        <v>29</v>
      </c>
      <c r="F25" s="23" t="s">
        <v>50</v>
      </c>
      <c r="G25" s="60"/>
      <c r="H25" s="24" t="s">
        <v>44</v>
      </c>
      <c r="I25" s="25">
        <v>0.24399999999999999</v>
      </c>
      <c r="J25" s="26">
        <v>41</v>
      </c>
      <c r="K25" s="27" t="s">
        <v>51</v>
      </c>
      <c r="L25" s="26">
        <v>11</v>
      </c>
      <c r="M25" s="26">
        <v>0</v>
      </c>
      <c r="N25" s="26">
        <v>1</v>
      </c>
      <c r="O25" s="27" t="s">
        <v>52</v>
      </c>
      <c r="P25" s="27">
        <v>2.0833333333333329E-2</v>
      </c>
      <c r="Q25" s="26">
        <v>168</v>
      </c>
      <c r="R25" s="28" t="s">
        <v>53</v>
      </c>
    </row>
    <row r="26" spans="1:18" ht="17.399999999999999" customHeigh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4"/>
    </row>
    <row r="27" spans="1:18" ht="17.399999999999999" customHeigh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4"/>
    </row>
    <row r="28" spans="1:18" ht="22.05" customHeight="1" x14ac:dyDescent="0.3">
      <c r="A28" s="57" t="s">
        <v>6</v>
      </c>
      <c r="B28" s="58"/>
      <c r="C28" s="58"/>
      <c r="D28" s="58"/>
      <c r="E28" s="58"/>
      <c r="F28" s="59"/>
      <c r="G28" s="3">
        <v>45993</v>
      </c>
      <c r="H28" s="57" t="s">
        <v>7</v>
      </c>
      <c r="I28" s="58"/>
      <c r="J28" s="58"/>
      <c r="K28" s="58"/>
      <c r="L28" s="58"/>
      <c r="M28" s="58"/>
      <c r="N28" s="58"/>
      <c r="O28" s="58"/>
      <c r="P28" s="58"/>
      <c r="Q28" s="58"/>
      <c r="R28" s="59"/>
    </row>
    <row r="29" spans="1:18" ht="24" customHeight="1" x14ac:dyDescent="0.3">
      <c r="A29" s="4" t="s">
        <v>8</v>
      </c>
      <c r="B29" s="4" t="s">
        <v>9</v>
      </c>
      <c r="C29" s="4" t="s">
        <v>10</v>
      </c>
      <c r="D29" s="4" t="s">
        <v>11</v>
      </c>
      <c r="E29" s="4" t="s">
        <v>12</v>
      </c>
      <c r="F29" s="5" t="s">
        <v>13</v>
      </c>
      <c r="G29" s="6" t="s">
        <v>14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19</v>
      </c>
      <c r="M29" s="4" t="s">
        <v>20</v>
      </c>
      <c r="N29" s="4" t="s">
        <v>21</v>
      </c>
      <c r="O29" s="4" t="s">
        <v>22</v>
      </c>
      <c r="P29" s="4" t="s">
        <v>23</v>
      </c>
      <c r="Q29" s="4" t="s">
        <v>24</v>
      </c>
      <c r="R29" s="4" t="s">
        <v>25</v>
      </c>
    </row>
    <row r="30" spans="1:18" ht="49.95" customHeight="1" x14ac:dyDescent="0.3">
      <c r="A30" s="7" t="s">
        <v>26</v>
      </c>
      <c r="B30" s="7" t="s">
        <v>27</v>
      </c>
      <c r="C30" s="7">
        <v>0.54166666666666663</v>
      </c>
      <c r="D30" s="7" t="s">
        <v>28</v>
      </c>
      <c r="E30" s="7" t="s">
        <v>54</v>
      </c>
      <c r="F30" s="7" t="s">
        <v>49</v>
      </c>
      <c r="G30" s="60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7.399999999999999" customHeight="1" x14ac:dyDescent="0.3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4"/>
    </row>
    <row r="32" spans="1:18" ht="17.399999999999999" customHeight="1" x14ac:dyDescent="0.3">
      <c r="A32" s="82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4"/>
    </row>
    <row r="33" spans="1:18" ht="22.05" customHeight="1" x14ac:dyDescent="0.3">
      <c r="A33" s="57" t="s">
        <v>6</v>
      </c>
      <c r="B33" s="58"/>
      <c r="C33" s="58"/>
      <c r="D33" s="58"/>
      <c r="E33" s="58"/>
      <c r="F33" s="59"/>
      <c r="G33" s="3">
        <v>45995</v>
      </c>
      <c r="H33" s="57" t="s">
        <v>7</v>
      </c>
      <c r="I33" s="58"/>
      <c r="J33" s="58"/>
      <c r="K33" s="58"/>
      <c r="L33" s="58"/>
      <c r="M33" s="58"/>
      <c r="N33" s="58"/>
      <c r="O33" s="58"/>
      <c r="P33" s="58"/>
      <c r="Q33" s="58"/>
      <c r="R33" s="59"/>
    </row>
    <row r="34" spans="1:18" ht="24" customHeight="1" x14ac:dyDescent="0.3">
      <c r="A34" s="4" t="s">
        <v>8</v>
      </c>
      <c r="B34" s="4" t="s">
        <v>9</v>
      </c>
      <c r="C34" s="4" t="s">
        <v>10</v>
      </c>
      <c r="D34" s="4" t="s">
        <v>11</v>
      </c>
      <c r="E34" s="4" t="s">
        <v>12</v>
      </c>
      <c r="F34" s="5" t="s">
        <v>13</v>
      </c>
      <c r="G34" s="6" t="s">
        <v>14</v>
      </c>
      <c r="H34" s="4" t="s">
        <v>15</v>
      </c>
      <c r="I34" s="4" t="s">
        <v>16</v>
      </c>
      <c r="J34" s="4" t="s">
        <v>17</v>
      </c>
      <c r="K34" s="4" t="s">
        <v>18</v>
      </c>
      <c r="L34" s="4" t="s">
        <v>19</v>
      </c>
      <c r="M34" s="4" t="s">
        <v>20</v>
      </c>
      <c r="N34" s="4" t="s">
        <v>21</v>
      </c>
      <c r="O34" s="4" t="s">
        <v>22</v>
      </c>
      <c r="P34" s="4" t="s">
        <v>23</v>
      </c>
      <c r="Q34" s="4" t="s">
        <v>24</v>
      </c>
      <c r="R34" s="4" t="s">
        <v>25</v>
      </c>
    </row>
    <row r="35" spans="1:18" ht="49.95" customHeight="1" x14ac:dyDescent="0.3">
      <c r="A35" s="7" t="s">
        <v>26</v>
      </c>
      <c r="B35" s="7" t="s">
        <v>27</v>
      </c>
      <c r="C35" s="7">
        <v>0.54166666666666663</v>
      </c>
      <c r="D35" s="7" t="s">
        <v>28</v>
      </c>
      <c r="E35" s="7" t="s">
        <v>48</v>
      </c>
      <c r="F35" s="7" t="s">
        <v>49</v>
      </c>
      <c r="G35" s="60"/>
      <c r="H35" s="8"/>
      <c r="I35" s="9"/>
      <c r="J35" s="9"/>
      <c r="K35" s="9"/>
      <c r="L35" s="9"/>
      <c r="M35" s="9"/>
      <c r="N35" s="9"/>
      <c r="O35" s="9"/>
      <c r="P35" s="9"/>
      <c r="Q35" s="9"/>
      <c r="R35" s="10"/>
    </row>
    <row r="36" spans="1:18" ht="17.399999999999999" customHeight="1" x14ac:dyDescent="0.3">
      <c r="A36" s="82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4"/>
    </row>
    <row r="37" spans="1:18" ht="22.05" customHeight="1" x14ac:dyDescent="0.3">
      <c r="A37" s="57" t="s">
        <v>6</v>
      </c>
      <c r="B37" s="58"/>
      <c r="C37" s="58"/>
      <c r="D37" s="58"/>
      <c r="E37" s="58"/>
      <c r="F37" s="59"/>
      <c r="G37" s="3">
        <v>45996</v>
      </c>
      <c r="H37" s="57" t="s">
        <v>7</v>
      </c>
      <c r="I37" s="58"/>
      <c r="J37" s="58"/>
      <c r="K37" s="58"/>
      <c r="L37" s="58"/>
      <c r="M37" s="58"/>
      <c r="N37" s="58"/>
      <c r="O37" s="58"/>
      <c r="P37" s="58"/>
      <c r="Q37" s="58"/>
      <c r="R37" s="59"/>
    </row>
    <row r="38" spans="1:18" ht="24" customHeight="1" x14ac:dyDescent="0.3">
      <c r="A38" s="4" t="s">
        <v>8</v>
      </c>
      <c r="B38" s="4" t="s">
        <v>9</v>
      </c>
      <c r="C38" s="4" t="s">
        <v>10</v>
      </c>
      <c r="D38" s="4" t="s">
        <v>11</v>
      </c>
      <c r="E38" s="4" t="s">
        <v>12</v>
      </c>
      <c r="F38" s="5" t="s">
        <v>13</v>
      </c>
      <c r="G38" s="6" t="s">
        <v>14</v>
      </c>
      <c r="H38" s="4" t="s">
        <v>15</v>
      </c>
      <c r="I38" s="4" t="s">
        <v>16</v>
      </c>
      <c r="J38" s="4" t="s">
        <v>17</v>
      </c>
      <c r="K38" s="4" t="s">
        <v>18</v>
      </c>
      <c r="L38" s="4" t="s">
        <v>19</v>
      </c>
      <c r="M38" s="4" t="s">
        <v>20</v>
      </c>
      <c r="N38" s="4" t="s">
        <v>21</v>
      </c>
      <c r="O38" s="4" t="s">
        <v>22</v>
      </c>
      <c r="P38" s="4" t="s">
        <v>23</v>
      </c>
      <c r="Q38" s="4" t="s">
        <v>24</v>
      </c>
      <c r="R38" s="4" t="s">
        <v>25</v>
      </c>
    </row>
    <row r="39" spans="1:18" ht="49.95" customHeight="1" x14ac:dyDescent="0.3">
      <c r="A39" s="29" t="s">
        <v>41</v>
      </c>
      <c r="B39" s="29" t="s">
        <v>42</v>
      </c>
      <c r="C39" s="29">
        <v>2.0833333333333329E-2</v>
      </c>
      <c r="D39" s="29" t="s">
        <v>28</v>
      </c>
      <c r="E39" s="29" t="s">
        <v>55</v>
      </c>
      <c r="F39" s="29" t="s">
        <v>50</v>
      </c>
      <c r="G39" s="60"/>
      <c r="H39" s="30" t="s">
        <v>44</v>
      </c>
      <c r="I39" s="31">
        <v>0.13689999999999999</v>
      </c>
      <c r="J39" s="32">
        <v>23</v>
      </c>
      <c r="K39" s="33" t="s">
        <v>45</v>
      </c>
      <c r="L39" s="32">
        <v>14</v>
      </c>
      <c r="M39" s="32">
        <v>2</v>
      </c>
      <c r="N39" s="32">
        <v>0</v>
      </c>
      <c r="O39" s="33" t="s">
        <v>56</v>
      </c>
      <c r="P39" s="33">
        <v>2.0833333333333329E-2</v>
      </c>
      <c r="Q39" s="32">
        <v>168</v>
      </c>
      <c r="R39" s="34" t="s">
        <v>57</v>
      </c>
    </row>
    <row r="40" spans="1:18" ht="17.399999999999999" customHeight="1" x14ac:dyDescent="0.3">
      <c r="A40" s="82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4"/>
    </row>
    <row r="41" spans="1:18" ht="22.05" customHeight="1" x14ac:dyDescent="0.3">
      <c r="A41" s="57" t="s">
        <v>6</v>
      </c>
      <c r="B41" s="58"/>
      <c r="C41" s="58"/>
      <c r="D41" s="58"/>
      <c r="E41" s="58"/>
      <c r="F41" s="59"/>
      <c r="G41" s="3">
        <v>45997</v>
      </c>
      <c r="H41" s="57" t="s">
        <v>7</v>
      </c>
      <c r="I41" s="58"/>
      <c r="J41" s="58"/>
      <c r="K41" s="58"/>
      <c r="L41" s="58"/>
      <c r="M41" s="58"/>
      <c r="N41" s="58"/>
      <c r="O41" s="58"/>
      <c r="P41" s="58"/>
      <c r="Q41" s="58"/>
      <c r="R41" s="59"/>
    </row>
    <row r="42" spans="1:18" ht="24" customHeight="1" x14ac:dyDescent="0.3">
      <c r="A42" s="4" t="s">
        <v>8</v>
      </c>
      <c r="B42" s="4" t="s">
        <v>9</v>
      </c>
      <c r="C42" s="4" t="s">
        <v>10</v>
      </c>
      <c r="D42" s="4" t="s">
        <v>11</v>
      </c>
      <c r="E42" s="4" t="s">
        <v>12</v>
      </c>
      <c r="F42" s="5" t="s">
        <v>13</v>
      </c>
      <c r="G42" s="6" t="s">
        <v>14</v>
      </c>
      <c r="H42" s="4" t="s">
        <v>15</v>
      </c>
      <c r="I42" s="4" t="s">
        <v>16</v>
      </c>
      <c r="J42" s="4" t="s">
        <v>17</v>
      </c>
      <c r="K42" s="4" t="s">
        <v>18</v>
      </c>
      <c r="L42" s="4" t="s">
        <v>19</v>
      </c>
      <c r="M42" s="4" t="s">
        <v>20</v>
      </c>
      <c r="N42" s="4" t="s">
        <v>21</v>
      </c>
      <c r="O42" s="4" t="s">
        <v>22</v>
      </c>
      <c r="P42" s="4" t="s">
        <v>23</v>
      </c>
      <c r="Q42" s="4" t="s">
        <v>24</v>
      </c>
      <c r="R42" s="4" t="s">
        <v>25</v>
      </c>
    </row>
    <row r="43" spans="1:18" ht="49.95" customHeight="1" x14ac:dyDescent="0.3">
      <c r="A43" s="7" t="s">
        <v>26</v>
      </c>
      <c r="B43" s="7" t="s">
        <v>27</v>
      </c>
      <c r="C43" s="7">
        <v>0.54166666666666663</v>
      </c>
      <c r="D43" s="7" t="s">
        <v>28</v>
      </c>
      <c r="E43" s="7" t="s">
        <v>58</v>
      </c>
      <c r="F43" s="7" t="s">
        <v>40</v>
      </c>
      <c r="G43" s="60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7.399999999999999" customHeight="1" x14ac:dyDescent="0.3">
      <c r="A44" s="82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4"/>
    </row>
    <row r="45" spans="1:18" ht="22.05" customHeight="1" x14ac:dyDescent="0.3">
      <c r="A45" s="57" t="s">
        <v>6</v>
      </c>
      <c r="B45" s="58"/>
      <c r="C45" s="58"/>
      <c r="D45" s="58"/>
      <c r="E45" s="58"/>
      <c r="F45" s="59"/>
      <c r="G45" s="3">
        <v>45998</v>
      </c>
      <c r="H45" s="57" t="s">
        <v>7</v>
      </c>
      <c r="I45" s="58"/>
      <c r="J45" s="58"/>
      <c r="K45" s="58"/>
      <c r="L45" s="58"/>
      <c r="M45" s="58"/>
      <c r="N45" s="58"/>
      <c r="O45" s="58"/>
      <c r="P45" s="58"/>
      <c r="Q45" s="58"/>
      <c r="R45" s="59"/>
    </row>
    <row r="46" spans="1:18" ht="24" customHeight="1" x14ac:dyDescent="0.3">
      <c r="A46" s="4" t="s">
        <v>8</v>
      </c>
      <c r="B46" s="4" t="s">
        <v>9</v>
      </c>
      <c r="C46" s="4" t="s">
        <v>10</v>
      </c>
      <c r="D46" s="4" t="s">
        <v>11</v>
      </c>
      <c r="E46" s="4" t="s">
        <v>12</v>
      </c>
      <c r="F46" s="5" t="s">
        <v>13</v>
      </c>
      <c r="G46" s="6" t="s">
        <v>14</v>
      </c>
      <c r="H46" s="4" t="s">
        <v>15</v>
      </c>
      <c r="I46" s="4" t="s">
        <v>16</v>
      </c>
      <c r="J46" s="4" t="s">
        <v>17</v>
      </c>
      <c r="K46" s="4" t="s">
        <v>18</v>
      </c>
      <c r="L46" s="4" t="s">
        <v>19</v>
      </c>
      <c r="M46" s="4" t="s">
        <v>20</v>
      </c>
      <c r="N46" s="4" t="s">
        <v>21</v>
      </c>
      <c r="O46" s="4" t="s">
        <v>22</v>
      </c>
      <c r="P46" s="4" t="s">
        <v>23</v>
      </c>
      <c r="Q46" s="4" t="s">
        <v>24</v>
      </c>
      <c r="R46" s="4" t="s">
        <v>25</v>
      </c>
    </row>
    <row r="47" spans="1:18" ht="49.95" customHeight="1" x14ac:dyDescent="0.3">
      <c r="A47" s="23" t="s">
        <v>41</v>
      </c>
      <c r="B47" s="23" t="s">
        <v>42</v>
      </c>
      <c r="C47" s="23">
        <v>2.0833333333333329E-2</v>
      </c>
      <c r="D47" s="23" t="s">
        <v>28</v>
      </c>
      <c r="E47" s="23" t="s">
        <v>55</v>
      </c>
      <c r="F47" s="23" t="s">
        <v>50</v>
      </c>
      <c r="G47" s="60"/>
      <c r="H47" s="24" t="s">
        <v>44</v>
      </c>
      <c r="I47" s="25">
        <v>5.9499999999999997E-2</v>
      </c>
      <c r="J47" s="26">
        <v>10</v>
      </c>
      <c r="K47" s="27" t="s">
        <v>59</v>
      </c>
      <c r="L47" s="26">
        <v>4</v>
      </c>
      <c r="M47" s="26">
        <v>0</v>
      </c>
      <c r="N47" s="26">
        <v>0</v>
      </c>
      <c r="O47" s="27" t="s">
        <v>56</v>
      </c>
      <c r="P47" s="27">
        <v>2.0833333333333329E-2</v>
      </c>
      <c r="Q47" s="26">
        <v>168</v>
      </c>
      <c r="R47" s="28" t="s">
        <v>60</v>
      </c>
    </row>
    <row r="48" spans="1:18" ht="17.399999999999999" customHeight="1" x14ac:dyDescent="0.3">
      <c r="A48" s="82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4"/>
    </row>
    <row r="49" spans="1:18" ht="17.399999999999999" customHeight="1" x14ac:dyDescent="0.3">
      <c r="A49" s="8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4"/>
    </row>
    <row r="50" spans="1:18" ht="22.05" customHeight="1" x14ac:dyDescent="0.3">
      <c r="A50" s="57" t="s">
        <v>6</v>
      </c>
      <c r="B50" s="58"/>
      <c r="C50" s="58"/>
      <c r="D50" s="58"/>
      <c r="E50" s="58"/>
      <c r="F50" s="59"/>
      <c r="G50" s="3">
        <v>46000</v>
      </c>
      <c r="H50" s="57" t="s">
        <v>7</v>
      </c>
      <c r="I50" s="58"/>
      <c r="J50" s="58"/>
      <c r="K50" s="58"/>
      <c r="L50" s="58"/>
      <c r="M50" s="58"/>
      <c r="N50" s="58"/>
      <c r="O50" s="58"/>
      <c r="P50" s="58"/>
      <c r="Q50" s="58"/>
      <c r="R50" s="59"/>
    </row>
    <row r="51" spans="1:18" ht="24" customHeight="1" x14ac:dyDescent="0.3">
      <c r="A51" s="4" t="s">
        <v>8</v>
      </c>
      <c r="B51" s="4" t="s">
        <v>9</v>
      </c>
      <c r="C51" s="4" t="s">
        <v>10</v>
      </c>
      <c r="D51" s="4" t="s">
        <v>11</v>
      </c>
      <c r="E51" s="4" t="s">
        <v>12</v>
      </c>
      <c r="F51" s="5" t="s">
        <v>13</v>
      </c>
      <c r="G51" s="6" t="s">
        <v>14</v>
      </c>
      <c r="H51" s="4" t="s">
        <v>15</v>
      </c>
      <c r="I51" s="4" t="s">
        <v>16</v>
      </c>
      <c r="J51" s="4" t="s">
        <v>17</v>
      </c>
      <c r="K51" s="4" t="s">
        <v>18</v>
      </c>
      <c r="L51" s="4" t="s">
        <v>19</v>
      </c>
      <c r="M51" s="4" t="s">
        <v>20</v>
      </c>
      <c r="N51" s="4" t="s">
        <v>21</v>
      </c>
      <c r="O51" s="4" t="s">
        <v>22</v>
      </c>
      <c r="P51" s="4" t="s">
        <v>23</v>
      </c>
      <c r="Q51" s="4" t="s">
        <v>24</v>
      </c>
      <c r="R51" s="4" t="s">
        <v>25</v>
      </c>
    </row>
    <row r="52" spans="1:18" ht="49.95" customHeight="1" x14ac:dyDescent="0.3">
      <c r="A52" s="7" t="s">
        <v>26</v>
      </c>
      <c r="B52" s="7" t="s">
        <v>27</v>
      </c>
      <c r="C52" s="7">
        <v>0.54166666666666663</v>
      </c>
      <c r="D52" s="7" t="s">
        <v>28</v>
      </c>
      <c r="E52" s="7" t="s">
        <v>61</v>
      </c>
      <c r="F52" s="7" t="s">
        <v>40</v>
      </c>
      <c r="G52" s="60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7.399999999999999" customHeight="1" x14ac:dyDescent="0.3">
      <c r="A53" s="82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4"/>
    </row>
  </sheetData>
  <mergeCells count="55">
    <mergeCell ref="N1:R1"/>
    <mergeCell ref="G17"/>
    <mergeCell ref="A53:R53"/>
    <mergeCell ref="A28:F28"/>
    <mergeCell ref="G39"/>
    <mergeCell ref="A19:F19"/>
    <mergeCell ref="G11:G13"/>
    <mergeCell ref="A9:F9"/>
    <mergeCell ref="H45:R45"/>
    <mergeCell ref="K2:R2"/>
    <mergeCell ref="A44:R44"/>
    <mergeCell ref="H19:R19"/>
    <mergeCell ref="A31:R31"/>
    <mergeCell ref="H37:R37"/>
    <mergeCell ref="A15:F15"/>
    <mergeCell ref="G6"/>
    <mergeCell ref="G52"/>
    <mergeCell ref="G21"/>
    <mergeCell ref="A32:R32"/>
    <mergeCell ref="A14:R14"/>
    <mergeCell ref="G2:J2"/>
    <mergeCell ref="A4:F4"/>
    <mergeCell ref="A8:R8"/>
    <mergeCell ref="A22:R22"/>
    <mergeCell ref="H28:R28"/>
    <mergeCell ref="A40:R40"/>
    <mergeCell ref="A48:R48"/>
    <mergeCell ref="A49:R49"/>
    <mergeCell ref="A45:F45"/>
    <mergeCell ref="G30"/>
    <mergeCell ref="A36:R36"/>
    <mergeCell ref="H15:R15"/>
    <mergeCell ref="H1:L1"/>
    <mergeCell ref="A1:E1"/>
    <mergeCell ref="G25"/>
    <mergeCell ref="A50:F50"/>
    <mergeCell ref="G47"/>
    <mergeCell ref="H41:R41"/>
    <mergeCell ref="A27:R27"/>
    <mergeCell ref="H4:R4"/>
    <mergeCell ref="H50:R50"/>
    <mergeCell ref="A18:R18"/>
    <mergeCell ref="A2:F2"/>
    <mergeCell ref="A3:R3"/>
    <mergeCell ref="H9:R9"/>
    <mergeCell ref="A26:R26"/>
    <mergeCell ref="A33:F33"/>
    <mergeCell ref="G43"/>
    <mergeCell ref="H23:R23"/>
    <mergeCell ref="A41:F41"/>
    <mergeCell ref="A7:R7"/>
    <mergeCell ref="G35"/>
    <mergeCell ref="A37:F37"/>
    <mergeCell ref="A23:F23"/>
    <mergeCell ref="H33:R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7.88671875" style="69" bestFit="1" customWidth="1"/>
    <col min="2" max="2" width="10.44140625" style="69" bestFit="1" customWidth="1"/>
    <col min="3" max="3" width="6.77734375" style="69" bestFit="1" customWidth="1"/>
    <col min="4" max="4" width="5.5546875" style="69" bestFit="1" customWidth="1"/>
    <col min="5" max="5" width="7.44140625" style="69" bestFit="1" customWidth="1"/>
    <col min="6" max="6" width="4.21875" style="69" bestFit="1" customWidth="1"/>
    <col min="7" max="7" width="10" style="69" bestFit="1" customWidth="1"/>
    <col min="8" max="10" width="7" style="69" bestFit="1" customWidth="1"/>
    <col min="11" max="11" width="10.5546875" style="69" bestFit="1" customWidth="1"/>
    <col min="12" max="12" width="18.109375" style="69" bestFit="1" customWidth="1"/>
    <col min="13" max="13" width="7.6640625" style="69" bestFit="1" customWidth="1" outlineLevel="1"/>
    <col min="14" max="14" width="6.33203125" style="69" bestFit="1" customWidth="1" outlineLevel="1"/>
    <col min="15" max="15" width="8" style="69" bestFit="1" customWidth="1" outlineLevel="1"/>
    <col min="16" max="16" width="13.6640625" style="69" bestFit="1" customWidth="1"/>
    <col min="17" max="26" width="3.88671875" style="69" bestFit="1" customWidth="1"/>
    <col min="27" max="27" width="4" style="69" bestFit="1" customWidth="1"/>
    <col min="28" max="28" width="3.88671875" style="69" bestFit="1" customWidth="1"/>
    <col min="29" max="29" width="4.21875" style="69" bestFit="1" customWidth="1"/>
    <col min="30" max="30" width="4.5546875" style="69" bestFit="1" customWidth="1"/>
    <col min="31" max="36" width="3.88671875" style="69" bestFit="1" customWidth="1"/>
    <col min="37" max="16384" width="8.88671875" style="69"/>
  </cols>
  <sheetData>
    <row r="1" spans="1:36" x14ac:dyDescent="0.3">
      <c r="A1" s="68" t="s">
        <v>62</v>
      </c>
      <c r="B1" s="68" t="s">
        <v>63</v>
      </c>
      <c r="C1" s="68" t="s">
        <v>64</v>
      </c>
      <c r="D1" s="68" t="s">
        <v>23</v>
      </c>
      <c r="E1" s="68" t="s">
        <v>65</v>
      </c>
      <c r="F1" s="68" t="s">
        <v>66</v>
      </c>
      <c r="G1" s="68" t="s">
        <v>16</v>
      </c>
      <c r="H1" s="68" t="s">
        <v>67</v>
      </c>
      <c r="I1" s="68" t="s">
        <v>68</v>
      </c>
      <c r="J1" s="68" t="s">
        <v>69</v>
      </c>
      <c r="K1" s="68" t="s">
        <v>70</v>
      </c>
      <c r="L1" s="68" t="s">
        <v>18</v>
      </c>
      <c r="M1" s="68" t="s">
        <v>20</v>
      </c>
      <c r="N1" s="68" t="s">
        <v>21</v>
      </c>
      <c r="O1" s="68" t="s">
        <v>19</v>
      </c>
      <c r="P1" s="68" t="s">
        <v>22</v>
      </c>
      <c r="Q1" s="68" t="s">
        <v>71</v>
      </c>
      <c r="R1" s="68" t="s">
        <v>72</v>
      </c>
      <c r="S1" s="68" t="s">
        <v>73</v>
      </c>
      <c r="T1" s="68" t="s">
        <v>74</v>
      </c>
      <c r="U1" s="68" t="s">
        <v>75</v>
      </c>
      <c r="V1" s="68" t="s">
        <v>76</v>
      </c>
      <c r="W1" s="68" t="s">
        <v>77</v>
      </c>
      <c r="X1" s="68" t="s">
        <v>78</v>
      </c>
      <c r="Y1" s="68" t="s">
        <v>79</v>
      </c>
      <c r="Z1" s="68" t="s">
        <v>80</v>
      </c>
      <c r="AA1" s="68" t="s">
        <v>81</v>
      </c>
      <c r="AB1" s="68" t="s">
        <v>82</v>
      </c>
      <c r="AC1" s="68" t="s">
        <v>83</v>
      </c>
      <c r="AD1" s="68" t="s">
        <v>84</v>
      </c>
      <c r="AE1" s="68" t="s">
        <v>85</v>
      </c>
      <c r="AF1" s="68" t="s">
        <v>86</v>
      </c>
      <c r="AG1" s="68" t="s">
        <v>87</v>
      </c>
      <c r="AH1" s="68" t="s">
        <v>88</v>
      </c>
      <c r="AI1" s="68" t="s">
        <v>89</v>
      </c>
      <c r="AJ1" s="68" t="s">
        <v>90</v>
      </c>
    </row>
    <row r="2" spans="1:36" x14ac:dyDescent="0.3">
      <c r="A2" s="70" t="s">
        <v>91</v>
      </c>
      <c r="B2" s="71">
        <v>45989</v>
      </c>
      <c r="C2" s="72" t="s">
        <v>44</v>
      </c>
      <c r="D2" s="73" t="s">
        <v>92</v>
      </c>
      <c r="E2" s="72" t="s">
        <v>1</v>
      </c>
      <c r="F2" s="72" t="s">
        <v>93</v>
      </c>
      <c r="G2" s="74">
        <v>0.30359999999999998</v>
      </c>
      <c r="H2" s="75">
        <v>168</v>
      </c>
      <c r="I2" s="75">
        <v>51</v>
      </c>
      <c r="J2" s="75">
        <v>0</v>
      </c>
      <c r="K2" s="72" t="s">
        <v>94</v>
      </c>
      <c r="L2" s="76" t="s">
        <v>45</v>
      </c>
      <c r="M2" s="75">
        <v>2</v>
      </c>
      <c r="N2" s="75">
        <v>4</v>
      </c>
      <c r="O2" s="75">
        <v>15</v>
      </c>
      <c r="P2" s="72" t="s">
        <v>46</v>
      </c>
      <c r="Q2" s="68"/>
      <c r="R2" s="68"/>
      <c r="S2" s="68"/>
      <c r="T2" s="68"/>
      <c r="U2" s="68"/>
      <c r="V2" s="68"/>
      <c r="W2" s="68"/>
      <c r="X2" s="68"/>
      <c r="Y2" s="68"/>
      <c r="Z2" s="75" t="s">
        <v>95</v>
      </c>
      <c r="AA2" s="75" t="s">
        <v>96</v>
      </c>
      <c r="AB2" s="68"/>
      <c r="AC2" s="75" t="s">
        <v>97</v>
      </c>
      <c r="AD2" s="75" t="s">
        <v>98</v>
      </c>
      <c r="AE2" s="68"/>
      <c r="AF2" s="68"/>
      <c r="AG2" s="68"/>
      <c r="AH2" s="68"/>
      <c r="AI2" s="68"/>
      <c r="AJ2" s="68"/>
    </row>
    <row r="3" spans="1:36" x14ac:dyDescent="0.3">
      <c r="A3" s="70" t="s">
        <v>99</v>
      </c>
      <c r="B3" s="71">
        <v>45991</v>
      </c>
      <c r="C3" s="72" t="s">
        <v>44</v>
      </c>
      <c r="D3" s="73" t="s">
        <v>92</v>
      </c>
      <c r="E3" s="72" t="s">
        <v>1</v>
      </c>
      <c r="F3" s="72" t="s">
        <v>93</v>
      </c>
      <c r="G3" s="74">
        <v>0.24399999999999999</v>
      </c>
      <c r="H3" s="75">
        <v>168</v>
      </c>
      <c r="I3" s="75">
        <v>41</v>
      </c>
      <c r="J3" s="75">
        <v>0</v>
      </c>
      <c r="K3" s="72" t="s">
        <v>94</v>
      </c>
      <c r="L3" s="76" t="s">
        <v>51</v>
      </c>
      <c r="M3" s="75">
        <v>0</v>
      </c>
      <c r="N3" s="75">
        <v>1</v>
      </c>
      <c r="O3" s="75">
        <v>11</v>
      </c>
      <c r="P3" s="72" t="s">
        <v>52</v>
      </c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75" t="s">
        <v>100</v>
      </c>
      <c r="AD3" s="75" t="s">
        <v>101</v>
      </c>
      <c r="AE3" s="75" t="s">
        <v>102</v>
      </c>
      <c r="AF3" s="75" t="s">
        <v>103</v>
      </c>
      <c r="AG3" s="68"/>
      <c r="AH3" s="68"/>
      <c r="AI3" s="68"/>
      <c r="AJ3" s="68"/>
    </row>
    <row r="4" spans="1:36" x14ac:dyDescent="0.3">
      <c r="A4" s="70" t="s">
        <v>91</v>
      </c>
      <c r="B4" s="71">
        <v>45996</v>
      </c>
      <c r="C4" s="72" t="s">
        <v>44</v>
      </c>
      <c r="D4" s="73" t="s">
        <v>92</v>
      </c>
      <c r="E4" s="72" t="s">
        <v>1</v>
      </c>
      <c r="F4" s="72" t="s">
        <v>93</v>
      </c>
      <c r="G4" s="74">
        <v>0.13689999999999999</v>
      </c>
      <c r="H4" s="75">
        <v>168</v>
      </c>
      <c r="I4" s="75">
        <v>23</v>
      </c>
      <c r="J4" s="75">
        <v>0</v>
      </c>
      <c r="K4" s="72" t="s">
        <v>94</v>
      </c>
      <c r="L4" s="76" t="s">
        <v>45</v>
      </c>
      <c r="M4" s="75">
        <v>2</v>
      </c>
      <c r="N4" s="75">
        <v>0</v>
      </c>
      <c r="O4" s="75">
        <v>14</v>
      </c>
      <c r="P4" s="72" t="s">
        <v>56</v>
      </c>
      <c r="Q4" s="68"/>
      <c r="R4" s="68"/>
      <c r="S4" s="68"/>
      <c r="T4" s="68"/>
      <c r="U4" s="68"/>
      <c r="V4" s="68"/>
      <c r="W4" s="68"/>
      <c r="X4" s="68"/>
      <c r="Y4" s="68"/>
      <c r="Z4" s="75" t="s">
        <v>104</v>
      </c>
      <c r="AA4" s="68"/>
      <c r="AB4" s="68"/>
      <c r="AC4" s="68"/>
      <c r="AD4" s="75" t="s">
        <v>105</v>
      </c>
      <c r="AE4" s="75" t="s">
        <v>102</v>
      </c>
      <c r="AF4" s="68"/>
      <c r="AG4" s="68"/>
      <c r="AH4" s="68"/>
      <c r="AI4" s="68"/>
      <c r="AJ4" s="68"/>
    </row>
    <row r="5" spans="1:36" x14ac:dyDescent="0.3">
      <c r="A5" s="70" t="s">
        <v>99</v>
      </c>
      <c r="B5" s="71">
        <v>45998</v>
      </c>
      <c r="C5" s="72" t="s">
        <v>44</v>
      </c>
      <c r="D5" s="73" t="s">
        <v>92</v>
      </c>
      <c r="E5" s="72" t="s">
        <v>1</v>
      </c>
      <c r="F5" s="72" t="s">
        <v>93</v>
      </c>
      <c r="G5" s="74">
        <v>5.9499999999999997E-2</v>
      </c>
      <c r="H5" s="75">
        <v>168</v>
      </c>
      <c r="I5" s="75">
        <v>10</v>
      </c>
      <c r="J5" s="75">
        <v>0</v>
      </c>
      <c r="K5" s="72" t="s">
        <v>94</v>
      </c>
      <c r="L5" s="76" t="s">
        <v>59</v>
      </c>
      <c r="M5" s="75">
        <v>0</v>
      </c>
      <c r="N5" s="75">
        <v>0</v>
      </c>
      <c r="O5" s="75">
        <v>4</v>
      </c>
      <c r="P5" s="72" t="s">
        <v>56</v>
      </c>
      <c r="Q5" s="68"/>
      <c r="R5" s="68"/>
      <c r="S5" s="68"/>
      <c r="T5" s="68"/>
      <c r="U5" s="68"/>
      <c r="V5" s="68"/>
      <c r="W5" s="68"/>
      <c r="X5" s="68"/>
      <c r="Y5" s="68"/>
      <c r="Z5" s="75" t="s">
        <v>104</v>
      </c>
      <c r="AA5" s="68"/>
      <c r="AB5" s="68"/>
      <c r="AC5" s="68"/>
      <c r="AD5" s="75" t="s">
        <v>106</v>
      </c>
      <c r="AE5" s="75" t="s">
        <v>107</v>
      </c>
      <c r="AF5" s="68"/>
      <c r="AG5" s="68"/>
      <c r="AH5" s="68"/>
      <c r="AI5" s="68"/>
      <c r="AJ5" s="68"/>
    </row>
    <row r="6" spans="1:36" ht="21" x14ac:dyDescent="0.3">
      <c r="A6" s="77" t="s">
        <v>115</v>
      </c>
      <c r="B6" s="78"/>
      <c r="C6" s="77">
        <f>SUBTOTAL(103,GIZ_CAI_LF_LEGACY[Flt])</f>
        <v>4</v>
      </c>
      <c r="D6" s="77"/>
      <c r="E6" s="77">
        <f>SUBTOTAL(103,GIZ_CAI_LF_LEGACY[Brd-Off])</f>
        <v>4</v>
      </c>
      <c r="F6" s="77"/>
      <c r="G6" s="79">
        <f>SUBTOTAL(101,GIZ_CAI_LF_LEGACY[LF%])</f>
        <v>0.186</v>
      </c>
      <c r="H6" s="80">
        <f>SUBTOTAL(109,GIZ_CAI_LF_LEGACY[CAP])</f>
        <v>672</v>
      </c>
      <c r="I6" s="80">
        <f>SUBTOTAL(109,GIZ_CAI_LF_LEGACY[BKG(Y)])</f>
        <v>125</v>
      </c>
      <c r="J6" s="80">
        <f>SUBTOTAL(109,GIZ_CAI_LF_LEGACY[GRP(Y)])</f>
        <v>0</v>
      </c>
      <c r="K6" s="77"/>
      <c r="L6" s="78"/>
      <c r="M6" s="80">
        <f>SUBTOTAL(109,GIZ_CAI_LF_LEGACY[TO-DAY])</f>
        <v>4</v>
      </c>
      <c r="N6" s="80">
        <f>SUBTOTAL(109,GIZ_CAI_LF_LEGACY[Y-DAY])</f>
        <v>5</v>
      </c>
      <c r="O6" s="80">
        <f>SUBTOTAL(109,GIZ_CAI_LF_LEGACY[WEEKLY])</f>
        <v>44</v>
      </c>
      <c r="P6" s="81"/>
      <c r="Q6" s="80">
        <f>SUBTOTAL(109,GIZ_CAI_LF_LEGACY[Y])</f>
        <v>0</v>
      </c>
      <c r="R6" s="80">
        <f>SUBTOTAL(109,GIZ_CAI_LF_LEGACY[B])</f>
        <v>0</v>
      </c>
      <c r="S6" s="80">
        <f>SUBTOTAL(109,GIZ_CAI_LF_LEGACY[M])</f>
        <v>0</v>
      </c>
      <c r="T6" s="80">
        <f>SUBTOTAL(109,GIZ_CAI_LF_LEGACY[H])</f>
        <v>0</v>
      </c>
      <c r="U6" s="80">
        <f>SUBTOTAL(109,GIZ_CAI_LF_LEGACY[Q])</f>
        <v>0</v>
      </c>
      <c r="V6" s="80">
        <f>SUBTOTAL(109,GIZ_CAI_LF_LEGACY[K])</f>
        <v>0</v>
      </c>
      <c r="W6" s="80">
        <f>SUBTOTAL(109,GIZ_CAI_LF_LEGACY[V])</f>
        <v>0</v>
      </c>
      <c r="X6" s="80">
        <f>SUBTOTAL(109,GIZ_CAI_LF_LEGACY[L])</f>
        <v>0</v>
      </c>
      <c r="Y6" s="80">
        <f>SUBTOTAL(109,GIZ_CAI_LF_LEGACY[G])</f>
        <v>0</v>
      </c>
      <c r="Z6" s="80">
        <f>SUBTOTAL(109,GIZ_CAI_LF_LEGACY[S])</f>
        <v>0</v>
      </c>
      <c r="AA6" s="80">
        <f>SUBTOTAL(109,GIZ_CAI_LF_LEGACY[W])</f>
        <v>0</v>
      </c>
      <c r="AB6" s="80">
        <f>SUBTOTAL(109,GIZ_CAI_LF_LEGACY[T])</f>
        <v>0</v>
      </c>
      <c r="AC6" s="80">
        <f>SUBTOTAL(109,GIZ_CAI_LF_LEGACY[X])</f>
        <v>0</v>
      </c>
      <c r="AD6" s="80">
        <f>SUBTOTAL(109,GIZ_CAI_LF_LEGACY[U])</f>
        <v>0</v>
      </c>
      <c r="AE6" s="80">
        <f>SUBTOTAL(109,GIZ_CAI_LF_LEGACY[O])</f>
        <v>0</v>
      </c>
      <c r="AF6" s="80">
        <f>SUBTOTAL(109,GIZ_CAI_LF_LEGACY[I])</f>
        <v>0</v>
      </c>
      <c r="AG6" s="80">
        <f>SUBTOTAL(109,GIZ_CAI_LF_LEGACY[E])</f>
        <v>0</v>
      </c>
      <c r="AH6" s="80">
        <f>SUBTOTAL(109,GIZ_CAI_LF_LEGACY[A])</f>
        <v>0</v>
      </c>
      <c r="AI6" s="80">
        <f>SUBTOTAL(109,GIZ_CAI_LF_LEGACY[P])</f>
        <v>0</v>
      </c>
      <c r="AJ6" s="80">
        <f>SUBTOTAL(103,GIZ_CAI_LF_LEGACY[N])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66.21875" hidden="1" customWidth="1"/>
  </cols>
  <sheetData>
    <row r="1" spans="1:8" ht="18" x14ac:dyDescent="0.3">
      <c r="A1" s="35" t="s">
        <v>108</v>
      </c>
      <c r="B1" s="36" t="s">
        <v>8</v>
      </c>
      <c r="C1" s="36" t="s">
        <v>9</v>
      </c>
      <c r="D1" s="36" t="s">
        <v>109</v>
      </c>
      <c r="E1" s="36" t="s">
        <v>10</v>
      </c>
      <c r="F1" s="36" t="s">
        <v>11</v>
      </c>
      <c r="G1" s="36" t="s">
        <v>12</v>
      </c>
      <c r="H1" s="37" t="s">
        <v>13</v>
      </c>
    </row>
    <row r="2" spans="1:8" ht="19.8" customHeight="1" x14ac:dyDescent="0.3">
      <c r="A2" s="38" t="s">
        <v>110</v>
      </c>
      <c r="B2" s="39" t="s">
        <v>26</v>
      </c>
      <c r="C2" s="40" t="s">
        <v>27</v>
      </c>
      <c r="D2" s="39" t="s">
        <v>1</v>
      </c>
      <c r="E2" s="39" t="s">
        <v>111</v>
      </c>
      <c r="F2" s="39" t="s">
        <v>28</v>
      </c>
      <c r="G2" s="41">
        <v>8</v>
      </c>
      <c r="H2" s="42">
        <v>730</v>
      </c>
    </row>
    <row r="3" spans="1:8" ht="19.8" customHeight="1" x14ac:dyDescent="0.3">
      <c r="A3" s="43" t="s">
        <v>112</v>
      </c>
      <c r="B3" s="44" t="s">
        <v>31</v>
      </c>
      <c r="C3" s="45" t="s">
        <v>32</v>
      </c>
      <c r="D3" s="44" t="s">
        <v>1</v>
      </c>
      <c r="E3" s="44" t="s">
        <v>113</v>
      </c>
      <c r="F3" s="44" t="s">
        <v>33</v>
      </c>
      <c r="G3" s="46">
        <v>9</v>
      </c>
      <c r="H3" s="47">
        <v>491</v>
      </c>
    </row>
    <row r="4" spans="1:8" ht="19.8" customHeight="1" x14ac:dyDescent="0.3">
      <c r="A4" s="43" t="s">
        <v>112</v>
      </c>
      <c r="B4" s="44" t="s">
        <v>26</v>
      </c>
      <c r="C4" s="45" t="s">
        <v>27</v>
      </c>
      <c r="D4" s="44" t="s">
        <v>1</v>
      </c>
      <c r="E4" s="44" t="s">
        <v>111</v>
      </c>
      <c r="F4" s="44" t="s">
        <v>28</v>
      </c>
      <c r="G4" s="46">
        <v>3</v>
      </c>
      <c r="H4" s="47">
        <v>558</v>
      </c>
    </row>
    <row r="5" spans="1:8" ht="19.8" customHeight="1" x14ac:dyDescent="0.3">
      <c r="A5" s="38" t="s">
        <v>112</v>
      </c>
      <c r="B5" s="39" t="s">
        <v>31</v>
      </c>
      <c r="C5" s="40" t="s">
        <v>32</v>
      </c>
      <c r="D5" s="39" t="s">
        <v>1</v>
      </c>
      <c r="E5" s="39" t="s">
        <v>113</v>
      </c>
      <c r="F5" s="39" t="s">
        <v>36</v>
      </c>
      <c r="G5" s="41">
        <v>9</v>
      </c>
      <c r="H5" s="42">
        <v>615</v>
      </c>
    </row>
    <row r="6" spans="1:8" ht="19.8" customHeight="1" x14ac:dyDescent="0.3">
      <c r="A6" s="48" t="s">
        <v>114</v>
      </c>
      <c r="B6" s="49" t="s">
        <v>41</v>
      </c>
      <c r="C6" s="50" t="s">
        <v>42</v>
      </c>
      <c r="D6" s="49" t="s">
        <v>1</v>
      </c>
      <c r="E6" s="49" t="s">
        <v>92</v>
      </c>
      <c r="F6" s="49" t="s">
        <v>28</v>
      </c>
      <c r="G6" s="51">
        <v>8</v>
      </c>
      <c r="H6" s="52">
        <v>578</v>
      </c>
    </row>
    <row r="7" spans="1:8" ht="19.8" customHeight="1" x14ac:dyDescent="0.3">
      <c r="A7" s="53">
        <v>45990</v>
      </c>
      <c r="B7" s="39" t="s">
        <v>26</v>
      </c>
      <c r="C7" s="40" t="s">
        <v>27</v>
      </c>
      <c r="D7" s="39" t="s">
        <v>1</v>
      </c>
      <c r="E7" s="54">
        <v>1.541666666666667</v>
      </c>
      <c r="F7" s="39" t="s">
        <v>28</v>
      </c>
      <c r="G7" s="41">
        <v>7</v>
      </c>
      <c r="H7" s="42">
        <v>621</v>
      </c>
    </row>
    <row r="8" spans="1:8" ht="19.8" customHeight="1" x14ac:dyDescent="0.3">
      <c r="A8" s="55">
        <v>45991</v>
      </c>
      <c r="B8" s="49" t="s">
        <v>41</v>
      </c>
      <c r="C8" s="50" t="s">
        <v>42</v>
      </c>
      <c r="D8" s="49" t="s">
        <v>1</v>
      </c>
      <c r="E8" s="56">
        <v>1.020833333333333</v>
      </c>
      <c r="F8" s="49" t="s">
        <v>28</v>
      </c>
      <c r="G8" s="51">
        <v>8</v>
      </c>
      <c r="H8" s="52">
        <v>519</v>
      </c>
    </row>
    <row r="9" spans="1:8" ht="19.8" customHeight="1" x14ac:dyDescent="0.3">
      <c r="A9" s="53">
        <v>45993</v>
      </c>
      <c r="B9" s="39" t="s">
        <v>26</v>
      </c>
      <c r="C9" s="40" t="s">
        <v>27</v>
      </c>
      <c r="D9" s="39" t="s">
        <v>1</v>
      </c>
      <c r="E9" s="54">
        <v>1.541666666666667</v>
      </c>
      <c r="F9" s="39" t="s">
        <v>28</v>
      </c>
      <c r="G9" s="41">
        <v>2</v>
      </c>
      <c r="H9" s="42">
        <v>621</v>
      </c>
    </row>
    <row r="10" spans="1:8" ht="19.8" customHeight="1" x14ac:dyDescent="0.3">
      <c r="A10" s="53">
        <v>45995</v>
      </c>
      <c r="B10" s="39" t="s">
        <v>26</v>
      </c>
      <c r="C10" s="40" t="s">
        <v>27</v>
      </c>
      <c r="D10" s="39" t="s">
        <v>1</v>
      </c>
      <c r="E10" s="54">
        <v>1.541666666666667</v>
      </c>
      <c r="F10" s="39" t="s">
        <v>28</v>
      </c>
      <c r="G10" s="41">
        <v>7</v>
      </c>
      <c r="H10" s="42">
        <v>621</v>
      </c>
    </row>
    <row r="11" spans="1:8" ht="19.8" customHeight="1" x14ac:dyDescent="0.3">
      <c r="A11" s="55">
        <v>45996</v>
      </c>
      <c r="B11" s="49" t="s">
        <v>41</v>
      </c>
      <c r="C11" s="50" t="s">
        <v>42</v>
      </c>
      <c r="D11" s="49" t="s">
        <v>1</v>
      </c>
      <c r="E11" s="56">
        <v>1.020833333333333</v>
      </c>
      <c r="F11" s="49" t="s">
        <v>28</v>
      </c>
      <c r="G11" s="51">
        <v>9</v>
      </c>
      <c r="H11" s="52">
        <v>519</v>
      </c>
    </row>
    <row r="12" spans="1:8" ht="19.8" customHeight="1" x14ac:dyDescent="0.3">
      <c r="A12" s="53">
        <v>45997</v>
      </c>
      <c r="B12" s="39" t="s">
        <v>26</v>
      </c>
      <c r="C12" s="40" t="s">
        <v>27</v>
      </c>
      <c r="D12" s="39" t="s">
        <v>1</v>
      </c>
      <c r="E12" s="54">
        <v>1.541666666666667</v>
      </c>
      <c r="F12" s="39" t="s">
        <v>28</v>
      </c>
      <c r="G12" s="41">
        <v>1</v>
      </c>
      <c r="H12" s="42">
        <v>558</v>
      </c>
    </row>
    <row r="13" spans="1:8" ht="19.8" customHeight="1" x14ac:dyDescent="0.3">
      <c r="A13" s="55">
        <v>45998</v>
      </c>
      <c r="B13" s="49" t="s">
        <v>41</v>
      </c>
      <c r="C13" s="50" t="s">
        <v>42</v>
      </c>
      <c r="D13" s="49" t="s">
        <v>1</v>
      </c>
      <c r="E13" s="56">
        <v>1.020833333333333</v>
      </c>
      <c r="F13" s="49" t="s">
        <v>28</v>
      </c>
      <c r="G13" s="51">
        <v>9</v>
      </c>
      <c r="H13" s="52">
        <v>519</v>
      </c>
    </row>
    <row r="14" spans="1:8" ht="19.8" customHeight="1" x14ac:dyDescent="0.3">
      <c r="A14" s="53">
        <v>46000</v>
      </c>
      <c r="B14" s="39" t="s">
        <v>26</v>
      </c>
      <c r="C14" s="40" t="s">
        <v>27</v>
      </c>
      <c r="D14" s="39" t="s">
        <v>1</v>
      </c>
      <c r="E14" s="54">
        <v>1.541666666666667</v>
      </c>
      <c r="F14" s="39" t="s">
        <v>28</v>
      </c>
      <c r="G14" s="41">
        <v>6</v>
      </c>
      <c r="H14" s="42">
        <v>558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GIZ-CAI</vt:lpstr>
      <vt:lpstr>GIZ-CAI LF LEGACY</vt:lpstr>
      <vt:lpstr>GIZ-CAI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2025-11-21T16:51:39Z</dcterms:created>
  <dcterms:modified xsi:type="dcterms:W3CDTF">2025-11-21T16:51:43Z</dcterms:modified>
</cp:coreProperties>
</file>